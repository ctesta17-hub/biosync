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HAVIOURABILITY" sheetId="1" r:id="rId5"/>
    <sheet state="visible" name="Quest.Utente1" sheetId="2" r:id="rId6"/>
    <sheet state="visible" name="Quest.Utente2" sheetId="3" r:id="rId7"/>
    <sheet state="visible" name="Quest.Utente3" sheetId="4" r:id="rId8"/>
    <sheet state="visible" name="Quest.Utente4" sheetId="5" r:id="rId9"/>
    <sheet state="visible" name="MEDIE" sheetId="6" r:id="rId10"/>
    <sheet state="visible" name="TabRisultati" sheetId="7" r:id="rId11"/>
  </sheets>
  <definedNames/>
  <calcPr/>
</workbook>
</file>

<file path=xl/sharedStrings.xml><?xml version="1.0" encoding="utf-8"?>
<sst xmlns="http://schemas.openxmlformats.org/spreadsheetml/2006/main" count="630" uniqueCount="111">
  <si>
    <t>Decision Making</t>
  </si>
  <si>
    <t>Self-Management</t>
  </si>
  <si>
    <t>Communication</t>
  </si>
  <si>
    <t>Engagement</t>
  </si>
  <si>
    <t>TASK T1 &lt;Riconoscimento dei segnali di stress e stanchezza&gt;</t>
  </si>
  <si>
    <t>K&amp;S</t>
  </si>
  <si>
    <t>SE</t>
  </si>
  <si>
    <t>MOT</t>
  </si>
  <si>
    <t>TASK T2 &lt;Gestione della transizione&gt;</t>
  </si>
  <si>
    <t>PC</t>
  </si>
  <si>
    <t>TASK T3 &lt;Scelta del momento per una pausa&gt;</t>
  </si>
  <si>
    <t>K&amp;S, SE</t>
  </si>
  <si>
    <t>TASK T4 &lt;Esecuzione di esercizi&gt;</t>
  </si>
  <si>
    <t>TASK T5 &lt;Monitoraggio dei parametri personali&gt;</t>
  </si>
  <si>
    <t>TASK T6 &lt;Regolazione della postura durante la giornata&gt;</t>
  </si>
  <si>
    <t>TASK T7 &lt;Pianificazione del benessere quotidiano&gt;</t>
  </si>
  <si>
    <t>Legenda</t>
  </si>
  <si>
    <t>SE = Self-Efficacy</t>
  </si>
  <si>
    <t>K&amp;S = Knowledge &amp; Skills</t>
  </si>
  <si>
    <t>PC = Personal Control</t>
  </si>
  <si>
    <t>MOT = Motivation</t>
  </si>
  <si>
    <t>Self Efficacy</t>
  </si>
  <si>
    <t>Scarso</t>
  </si>
  <si>
    <t>Sufficiente</t>
  </si>
  <si>
    <t>Buono</t>
  </si>
  <si>
    <t>Molto Buono</t>
  </si>
  <si>
    <t>Eccellente</t>
  </si>
  <si>
    <t>Valore</t>
  </si>
  <si>
    <t>Segnare la risposta con una X maiuscola</t>
  </si>
  <si>
    <t>T1_SE1</t>
  </si>
  <si>
    <t>Quanto ti senti sicuro/a di saper distinguere un semplice affaticamento da un segnale di stress acuto?</t>
  </si>
  <si>
    <t>X</t>
  </si>
  <si>
    <t>T1_SE2</t>
  </si>
  <si>
    <t>Quanto sei convinto/a di poter identificare correttamente i segnali di tensione muscolare prima che diventino dolore?</t>
  </si>
  <si>
    <t>Knowledge&amp;Skills</t>
  </si>
  <si>
    <t>T1_KS1</t>
  </si>
  <si>
    <t>Quanto pensi di conoscere i segnali biometrici (battito, tensione) che il tuo corpo invia quando è sotto sforzo?</t>
  </si>
  <si>
    <t>T1_KS2</t>
  </si>
  <si>
    <t>Quanto sei esperto/a nel collegare un sintomo fisico (es. mal di testa) a una causa specifica della tua giornata?</t>
  </si>
  <si>
    <t>Motivation</t>
  </si>
  <si>
    <t>T1_MOT1</t>
  </si>
  <si>
    <t>Quanto sei motivato/a a fermarti immediatamente quando avverti un segnale di malessere fisico?</t>
  </si>
  <si>
    <t>…</t>
  </si>
  <si>
    <t>Personal Control</t>
  </si>
  <si>
    <t>T2_PC1</t>
  </si>
  <si>
    <t>Quanto senti di avere il potere di decidere di fermarti tra un meeting e l'altro?</t>
  </si>
  <si>
    <t>T2_PC2</t>
  </si>
  <si>
    <t>Quanto pensi che la qualità del tuo prossimo impegno dipenda dalla tua capacità di resettare la mente ora?</t>
  </si>
  <si>
    <t>T2_MOT1</t>
  </si>
  <si>
    <t>Quanto impegno metti nel cercare attivamente un momento di stacco in un'agenda molto fitta?</t>
  </si>
  <si>
    <t>T3_SE1</t>
  </si>
  <si>
    <t>Quanto sei sicuro/a di riuscire a trovare il momento giusto in agenda senza che questo influisca sui tuoi task?</t>
  </si>
  <si>
    <t>T3_SE2</t>
  </si>
  <si>
    <t>Quanto ti senti capace di ignorare le pressioni esterne per prenderti un momento di pausa necessario?</t>
  </si>
  <si>
    <t>T3_KS1</t>
  </si>
  <si>
    <t>Quanto sai valutare correttamente se la tua riserva di energia mentale è effettivamente esaurita?</t>
  </si>
  <si>
    <t>T3_KS2</t>
  </si>
  <si>
    <t>Quanto conosci le tecniche per incastrare micro-momenti di benessere nella tua routine digitale?</t>
  </si>
  <si>
    <t>T3_PC1</t>
  </si>
  <si>
    <t>Quanto ti senti libero/a di gestire il tuo tempo senza sentirti in colpa verso colleghi o clienti?</t>
  </si>
  <si>
    <t>T3_PC2</t>
  </si>
  <si>
    <t>Quanto senti di poter modificare i tuoi piani se il tuo corpo ti segnala una necessità improvvisa?</t>
  </si>
  <si>
    <t>T3_MOT1</t>
  </si>
  <si>
    <t>Quanto è importante per te non arrivare a fine giornata completamente esausto/a?</t>
  </si>
  <si>
    <t>T4_KS1</t>
  </si>
  <si>
    <t>Quanto conosci correttamente le tecniche di respirazione o gli esercizi suggeriti dalle varie app?</t>
  </si>
  <si>
    <t>T4_KS2</t>
  </si>
  <si>
    <t>Quanto ti senti preparato/a a eseguire esercizi anche in un ambiente non sportivo (ufficio)?</t>
  </si>
  <si>
    <t>T4_MOT1</t>
  </si>
  <si>
    <t>Quanto sei costante nel portare a termine un'esercizio una volta che hai deciso di iniziarlo?</t>
  </si>
  <si>
    <t>T5_SE1</t>
  </si>
  <si>
    <t>In che misura ti senti capace di migliorare i tuoi livelli di stress e recupero agendo sulle tue abitudini?</t>
  </si>
  <si>
    <t>T5_SE2</t>
  </si>
  <si>
    <t>Quanto ti fidi della tua capacità di interpretare correttamente i dati che le varie app ti dicono?</t>
  </si>
  <si>
    <t>T5_KS1</t>
  </si>
  <si>
    <t>Quanto comprendi il significato di termini come HRV (variabilità cardiaca) o stress del sistema nervoso?</t>
  </si>
  <si>
    <t>T5_KS2</t>
  </si>
  <si>
    <t>Quanto sai tradurre un grafico o un dato dell'app in un'azione pratica per il tuo benessere?</t>
  </si>
  <si>
    <t>T6_PC1</t>
  </si>
  <si>
    <t>Quanto ti senti in grado di mantenere l'attenzione sulla tua postura mentre sei concentrato/a al 100% sul lavoro?</t>
  </si>
  <si>
    <t>T6_PC2</t>
  </si>
  <si>
    <t>Quanto senti di avere il controllo sui tuoi movimenti involontari (es. incurvare le spalle)?</t>
  </si>
  <si>
    <t>T6_KS1</t>
  </si>
  <si>
    <t>Quanto conosci la posizione ergonomica corretta che dovresti tenere alla tua scrivania?</t>
  </si>
  <si>
    <t>T6_KS2</t>
  </si>
  <si>
    <t>Quanto conosci esercizi specifici per sciogliere le tensioni causate dalla postura scorretta?</t>
  </si>
  <si>
    <t>T6_MOT1</t>
  </si>
  <si>
    <t>Quanto sei disposto/a a correggere la postura ogni volta che ricevi un alert, anche se sei impegnato/a?</t>
  </si>
  <si>
    <t>T7_SE1</t>
  </si>
  <si>
    <t>Quanto sei convinto/a che pianificare il benessere possa davvero cambiare la tua salute a lungo termine?</t>
  </si>
  <si>
    <t>T7_SE2</t>
  </si>
  <si>
    <t>Quanto ti senti capace di mantenere una routine di benessere per più di una settimana consecutiva?</t>
  </si>
  <si>
    <t>T7_PC1</t>
  </si>
  <si>
    <t>Quanto senti di essere tu il/la responsabile principale del tuo benessere quotidiano?</t>
  </si>
  <si>
    <t>T7_PC2</t>
  </si>
  <si>
    <t>Quanto senti di poter influenzare il tuo livello di stress organizzando meglio la tua giornata?</t>
  </si>
  <si>
    <t>T7_MOT1</t>
  </si>
  <si>
    <t>Quanto desideri trasformare la cura di te stesso/a in un'abitudine automatica?</t>
  </si>
  <si>
    <t>Task</t>
  </si>
  <si>
    <t>ISE</t>
  </si>
  <si>
    <t>IKS</t>
  </si>
  <si>
    <t>IPC</t>
  </si>
  <si>
    <t>IMOT</t>
  </si>
  <si>
    <t>T1</t>
  </si>
  <si>
    <t>T2</t>
  </si>
  <si>
    <t>T3</t>
  </si>
  <si>
    <t>T4</t>
  </si>
  <si>
    <t>T5</t>
  </si>
  <si>
    <t>T6</t>
  </si>
  <si>
    <t>T7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</si>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</sst>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i/>
      <sz val="14.0"/>
      <color rgb="FF003366"/>
      <name val="Times New Roman"/>
    </font>
    <font>
      <color rgb="FF000000"/>
      <name val="Arial"/>
      <scheme val="minor"/>
    </font>
    <font>
      <i/>
      <color rgb="FF000000"/>
      <name val="Arial"/>
      <scheme val="minor"/>
    </font>
    <font>
      <sz val="14.0"/>
      <color rgb="FF003366"/>
      <name val="Times"/>
    </font>
    <font>
      <b/>
      <color rgb="FF000000"/>
      <name val="Arial"/>
      <scheme val="minor"/>
    </font>
    <font>
      <b/>
      <i/>
      <sz val="14.0"/>
      <color rgb="FF000000"/>
      <name val="Times New Roman"/>
    </font>
    <font>
      <sz val="14.0"/>
      <color rgb="FF000000"/>
      <name val="Times New Roman"/>
    </font>
    <font>
      <sz val="14.0"/>
      <color rgb="FFFF0000"/>
      <name val="Times New Roman"/>
    </font>
    <font>
      <sz val="14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CBDEDE"/>
        <bgColor rgb="FFCBDEDE"/>
      </patternFill>
    </fill>
    <fill>
      <patternFill patternType="solid">
        <fgColor rgb="FFE7EFEF"/>
        <bgColor rgb="FFE7EFEF"/>
      </patternFill>
    </fill>
    <fill>
      <patternFill patternType="solid">
        <fgColor rgb="FFD2DEEF"/>
        <bgColor rgb="FFD2DEEF"/>
      </patternFill>
    </fill>
    <fill>
      <patternFill patternType="solid">
        <fgColor rgb="FFEAEFF7"/>
        <bgColor rgb="FFEAEFF7"/>
      </patternFill>
    </fill>
  </fills>
  <borders count="3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4" numFmtId="0" xfId="0" applyAlignment="1" applyFont="1">
      <alignment horizontal="left" readingOrder="0" vertical="bottom"/>
    </xf>
    <xf borderId="1" fillId="2" fontId="5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0" fontId="3" numFmtId="0" xfId="0" applyAlignment="1" applyFont="1">
      <alignment horizontal="right" readingOrder="0" vertical="bottom"/>
    </xf>
    <xf borderId="1" fillId="3" fontId="5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0" fillId="0" fontId="6" numFmtId="0" xfId="0" applyAlignment="1" applyFont="1">
      <alignment horizontal="right" readingOrder="0" vertical="bottom"/>
    </xf>
    <xf borderId="1" fillId="2" fontId="5" numFmtId="0" xfId="0" applyAlignment="1" applyBorder="1" applyFont="1">
      <alignment horizontal="right" readingOrder="0"/>
    </xf>
    <xf borderId="1" fillId="4" fontId="7" numFmtId="0" xfId="0" applyAlignment="1" applyBorder="1" applyFill="1" applyFont="1">
      <alignment horizontal="center" readingOrder="0"/>
    </xf>
    <xf borderId="1" fillId="5" fontId="8" numFmtId="0" xfId="0" applyAlignment="1" applyBorder="1" applyFill="1" applyFont="1">
      <alignment horizontal="left" readingOrder="0"/>
    </xf>
    <xf borderId="1" fillId="5" fontId="9" numFmtId="2" xfId="0" applyAlignment="1" applyBorder="1" applyFont="1" applyNumberFormat="1">
      <alignment horizontal="center" readingOrder="0" vertical="bottom"/>
    </xf>
    <xf borderId="1" fillId="5" fontId="10" numFmtId="2" xfId="0" applyAlignment="1" applyBorder="1" applyFont="1" applyNumberFormat="1">
      <alignment horizontal="center" vertical="bottom"/>
    </xf>
    <xf borderId="1" fillId="5" fontId="8" numFmtId="2" xfId="0" applyAlignment="1" applyBorder="1" applyFont="1" applyNumberFormat="1">
      <alignment horizontal="center" readingOrder="0" vertical="bottom"/>
    </xf>
    <xf borderId="1" fillId="4" fontId="8" numFmtId="0" xfId="0" applyAlignment="1" applyBorder="1" applyFont="1">
      <alignment horizontal="left" readingOrder="0"/>
    </xf>
    <xf borderId="1" fillId="4" fontId="10" numFmtId="2" xfId="0" applyAlignment="1" applyBorder="1" applyFont="1" applyNumberFormat="1">
      <alignment horizontal="center" vertical="bottom"/>
    </xf>
    <xf borderId="1" fillId="4" fontId="8" numFmtId="2" xfId="0" applyAlignment="1" applyBorder="1" applyFont="1" applyNumberFormat="1">
      <alignment horizontal="center" readingOrder="0" vertical="bottom"/>
    </xf>
    <xf borderId="1" fillId="4" fontId="9" numFmtId="2" xfId="0" applyAlignment="1" applyBorder="1" applyFont="1" applyNumberFormat="1">
      <alignment horizontal="center" readingOrder="0" vertical="bottom"/>
    </xf>
    <xf borderId="1" fillId="5" fontId="10" numFmtId="2" xfId="0" applyAlignment="1" applyBorder="1" applyFont="1" applyNumberFormat="1">
      <alignment horizontal="center" readingOrder="0" vertical="bottom"/>
    </xf>
    <xf borderId="0" fillId="0" fontId="10" numFmtId="0" xfId="0" applyAlignment="1" applyFont="1">
      <alignment horizontal="left" vertical="bottom"/>
    </xf>
    <xf borderId="0" fillId="0" fontId="10" numFmtId="2" xfId="0" applyAlignment="1" applyFont="1" applyNumberFormat="1">
      <alignment horizontal="left" vertical="bottom"/>
    </xf>
    <xf borderId="0" fillId="0" fontId="8" numFmtId="0" xfId="0" applyAlignment="1" applyFont="1">
      <alignment horizontal="left" readingOrder="0" vertical="bottom"/>
    </xf>
  </cellXfs>
  <cellStyles count="1">
    <cellStyle xfId="0" name="Normal" builtinId="0"/>
  </cellStyles>
  <dxfs count="1">
    <dxf>
      <font>
        <color rgb="FFFF0000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25"/>
    <col customWidth="1" min="2" max="2" width="17.63"/>
    <col customWidth="1" min="3" max="3" width="18.38"/>
    <col customWidth="1" min="4" max="4" width="16.63"/>
    <col customWidth="1" min="5" max="5" width="13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>
      <c r="A2" s="3" t="s">
        <v>4</v>
      </c>
      <c r="B2" s="3" t="s">
        <v>5</v>
      </c>
      <c r="C2" s="4"/>
      <c r="D2" s="3" t="s">
        <v>6</v>
      </c>
      <c r="E2" s="3" t="s">
        <v>7</v>
      </c>
    </row>
    <row r="3">
      <c r="A3" s="3" t="s">
        <v>8</v>
      </c>
      <c r="B3" s="3" t="s">
        <v>9</v>
      </c>
      <c r="C3" s="3" t="s">
        <v>9</v>
      </c>
      <c r="D3" s="4"/>
      <c r="E3" s="3" t="s">
        <v>7</v>
      </c>
    </row>
    <row r="4">
      <c r="A4" s="3" t="s">
        <v>10</v>
      </c>
      <c r="B4" s="3" t="s">
        <v>11</v>
      </c>
      <c r="C4" s="3" t="s">
        <v>9</v>
      </c>
      <c r="D4" s="4"/>
      <c r="E4" s="3" t="s">
        <v>7</v>
      </c>
    </row>
    <row r="5">
      <c r="A5" s="3" t="s">
        <v>12</v>
      </c>
      <c r="B5" s="4"/>
      <c r="C5" s="3" t="s">
        <v>5</v>
      </c>
      <c r="D5" s="4"/>
      <c r="E5" s="3" t="s">
        <v>7</v>
      </c>
    </row>
    <row r="6">
      <c r="A6" s="3" t="s">
        <v>13</v>
      </c>
      <c r="B6" s="3" t="s">
        <v>5</v>
      </c>
      <c r="C6" s="4"/>
      <c r="D6" s="3" t="s">
        <v>6</v>
      </c>
      <c r="E6" s="4"/>
    </row>
    <row r="7">
      <c r="A7" s="3" t="s">
        <v>14</v>
      </c>
      <c r="B7" s="4"/>
      <c r="C7" s="3" t="s">
        <v>9</v>
      </c>
      <c r="D7" s="3" t="s">
        <v>5</v>
      </c>
      <c r="E7" s="3" t="s">
        <v>7</v>
      </c>
    </row>
    <row r="8">
      <c r="A8" s="3" t="s">
        <v>15</v>
      </c>
      <c r="B8" s="3" t="s">
        <v>6</v>
      </c>
      <c r="C8" s="3" t="s">
        <v>9</v>
      </c>
      <c r="D8" s="4"/>
      <c r="E8" s="3" t="s">
        <v>7</v>
      </c>
    </row>
    <row r="9">
      <c r="A9" s="4"/>
      <c r="B9" s="4"/>
      <c r="C9" s="4"/>
      <c r="D9" s="4"/>
      <c r="E9" s="4"/>
    </row>
    <row r="10">
      <c r="A10" s="4"/>
      <c r="B10" s="4"/>
      <c r="C10" s="4"/>
      <c r="D10" s="4"/>
      <c r="E10" s="4"/>
    </row>
    <row r="11">
      <c r="A11" s="4"/>
      <c r="B11" s="4"/>
      <c r="C11" s="4"/>
      <c r="D11" s="4"/>
      <c r="E11" s="4"/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3" t="s">
        <v>16</v>
      </c>
      <c r="B16" s="4"/>
      <c r="C16" s="4"/>
      <c r="D16" s="4"/>
      <c r="E16" s="4"/>
    </row>
    <row r="17">
      <c r="A17" s="5" t="s">
        <v>17</v>
      </c>
      <c r="B17" s="4"/>
      <c r="C17" s="4"/>
      <c r="D17" s="4"/>
      <c r="E17" s="4"/>
    </row>
    <row r="18">
      <c r="A18" s="5" t="s">
        <v>18</v>
      </c>
      <c r="B18" s="4"/>
      <c r="C18" s="4"/>
      <c r="D18" s="4"/>
      <c r="E18" s="4"/>
    </row>
    <row r="19">
      <c r="A19" s="5" t="s">
        <v>19</v>
      </c>
      <c r="B19" s="4"/>
      <c r="C19" s="4"/>
      <c r="D19" s="4"/>
      <c r="E19" s="4"/>
    </row>
    <row r="20">
      <c r="A20" s="5" t="s">
        <v>20</v>
      </c>
      <c r="B20" s="4"/>
      <c r="C20" s="4"/>
      <c r="D20" s="4"/>
      <c r="E2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86.63"/>
    <col customWidth="1" min="9" max="9" width="38.88"/>
  </cols>
  <sheetData>
    <row r="1">
      <c r="A1" s="4"/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7" t="s">
        <v>27</v>
      </c>
      <c r="I1" s="7" t="s">
        <v>28</v>
      </c>
    </row>
    <row r="2">
      <c r="A2" s="6" t="s">
        <v>29</v>
      </c>
      <c r="B2" s="5" t="s">
        <v>30</v>
      </c>
      <c r="C2" s="3" t="s">
        <v>31</v>
      </c>
      <c r="D2" s="4"/>
      <c r="E2" s="4"/>
      <c r="F2" s="4"/>
      <c r="G2" s="4"/>
      <c r="H2" s="8">
        <f t="shared" ref="H2:H3" si="1">IF(C2="X",1)+IF(D2="X",2)+IF(E2="X",3)+IF(F2="X",4)+IF(G2="X",5)</f>
        <v>1</v>
      </c>
      <c r="I2" s="4"/>
    </row>
    <row r="3">
      <c r="A3" s="9" t="s">
        <v>32</v>
      </c>
      <c r="B3" s="3" t="s">
        <v>33</v>
      </c>
      <c r="C3" s="4"/>
      <c r="D3" s="3" t="s">
        <v>31</v>
      </c>
      <c r="E3" s="4"/>
      <c r="F3" s="4"/>
      <c r="G3" s="4"/>
      <c r="H3" s="8">
        <f t="shared" si="1"/>
        <v>2</v>
      </c>
      <c r="I3" s="4"/>
    </row>
    <row r="4">
      <c r="A4" s="10"/>
      <c r="B4" s="6" t="s">
        <v>34</v>
      </c>
      <c r="C4" s="4"/>
      <c r="D4" s="4"/>
      <c r="E4" s="4"/>
      <c r="F4" s="4"/>
      <c r="G4" s="4"/>
      <c r="H4" s="8"/>
      <c r="I4" s="4"/>
    </row>
    <row r="5">
      <c r="A5" s="6" t="s">
        <v>35</v>
      </c>
      <c r="B5" s="3" t="s">
        <v>36</v>
      </c>
      <c r="C5" s="4"/>
      <c r="D5" s="4"/>
      <c r="E5" s="3" t="s">
        <v>31</v>
      </c>
      <c r="F5" s="4"/>
      <c r="G5" s="4"/>
      <c r="H5" s="8">
        <f t="shared" ref="H5:H6" si="2">IF(C5="X",1)+IF(D5="X",2)+IF(E5="X",3)+IF(F5="X",4)+IF(G5="X",5)</f>
        <v>3</v>
      </c>
      <c r="I5" s="4"/>
    </row>
    <row r="6">
      <c r="A6" s="9" t="s">
        <v>37</v>
      </c>
      <c r="B6" s="3" t="s">
        <v>38</v>
      </c>
      <c r="C6" s="4"/>
      <c r="D6" s="3" t="s">
        <v>31</v>
      </c>
      <c r="E6" s="4"/>
      <c r="F6" s="4"/>
      <c r="G6" s="4"/>
      <c r="H6" s="8">
        <f t="shared" si="2"/>
        <v>2</v>
      </c>
      <c r="I6" s="4"/>
    </row>
    <row r="7">
      <c r="A7" s="10"/>
      <c r="B7" s="6" t="s">
        <v>39</v>
      </c>
      <c r="C7" s="4"/>
      <c r="D7" s="4"/>
      <c r="E7" s="4"/>
      <c r="F7" s="4"/>
      <c r="G7" s="4"/>
      <c r="H7" s="8"/>
      <c r="I7" s="4"/>
    </row>
    <row r="8">
      <c r="A8" s="6" t="s">
        <v>40</v>
      </c>
      <c r="B8" s="3" t="s">
        <v>41</v>
      </c>
      <c r="C8" s="3" t="s">
        <v>31</v>
      </c>
      <c r="D8" s="4"/>
      <c r="E8" s="4"/>
      <c r="F8" s="4"/>
      <c r="G8" s="4"/>
      <c r="H8" s="8">
        <f>IF(C8="X",1)+IF(D8="X",2)+IF(E8="X",3)+IF(F8="X",4)+IF(G8="X",5)</f>
        <v>1</v>
      </c>
      <c r="I8" s="4"/>
    </row>
    <row r="9">
      <c r="A9" s="9" t="s">
        <v>42</v>
      </c>
      <c r="B9" s="6" t="s">
        <v>43</v>
      </c>
      <c r="C9" s="4"/>
      <c r="D9" s="4"/>
      <c r="E9" s="4"/>
      <c r="F9" s="4"/>
      <c r="G9" s="4"/>
      <c r="H9" s="8"/>
      <c r="I9" s="4"/>
    </row>
    <row r="10">
      <c r="A10" s="6" t="s">
        <v>44</v>
      </c>
      <c r="B10" s="3" t="s">
        <v>45</v>
      </c>
      <c r="C10" s="4"/>
      <c r="D10" s="3" t="s">
        <v>31</v>
      </c>
      <c r="E10" s="4"/>
      <c r="F10" s="4"/>
      <c r="G10" s="4"/>
      <c r="H10" s="8">
        <f t="shared" ref="H10:H11" si="3">IF(C10="X",1)+IF(D10="X",2)+IF(E10="X",3)+IF(F10="X",4)+IF(G10="X",5)</f>
        <v>2</v>
      </c>
      <c r="I10" s="4"/>
    </row>
    <row r="11">
      <c r="A11" s="9" t="s">
        <v>46</v>
      </c>
      <c r="B11" s="3" t="s">
        <v>47</v>
      </c>
      <c r="C11" s="4"/>
      <c r="D11" s="4"/>
      <c r="E11" s="4"/>
      <c r="F11" s="3" t="s">
        <v>31</v>
      </c>
      <c r="G11" s="4"/>
      <c r="H11" s="8">
        <f t="shared" si="3"/>
        <v>4</v>
      </c>
      <c r="I11" s="4"/>
    </row>
    <row r="12">
      <c r="A12" s="10"/>
      <c r="B12" s="6" t="s">
        <v>39</v>
      </c>
      <c r="C12" s="4"/>
      <c r="D12" s="4"/>
      <c r="E12" s="4"/>
      <c r="F12" s="4"/>
      <c r="G12" s="4"/>
      <c r="H12" s="8"/>
      <c r="I12" s="4"/>
    </row>
    <row r="13">
      <c r="A13" s="6" t="s">
        <v>48</v>
      </c>
      <c r="B13" s="3" t="s">
        <v>49</v>
      </c>
      <c r="C13" s="3" t="s">
        <v>31</v>
      </c>
      <c r="D13" s="4"/>
      <c r="E13" s="4"/>
      <c r="F13" s="4"/>
      <c r="G13" s="4"/>
      <c r="H13" s="8">
        <f>IF(C13="X",1)+IF(D13="X",2)+IF(E13="X",3)+IF(F13="X",4)+IF(G13="X",5)</f>
        <v>1</v>
      </c>
      <c r="I13" s="4"/>
    </row>
    <row r="14">
      <c r="A14" s="9" t="s">
        <v>42</v>
      </c>
      <c r="B14" s="6" t="s">
        <v>21</v>
      </c>
      <c r="C14" s="4"/>
      <c r="D14" s="4"/>
      <c r="E14" s="4"/>
      <c r="F14" s="4"/>
      <c r="G14" s="4"/>
      <c r="H14" s="8"/>
      <c r="I14" s="4"/>
    </row>
    <row r="15">
      <c r="A15" s="6" t="s">
        <v>50</v>
      </c>
      <c r="B15" s="5" t="s">
        <v>51</v>
      </c>
      <c r="C15" s="4"/>
      <c r="D15" s="4"/>
      <c r="E15" s="3" t="s">
        <v>31</v>
      </c>
      <c r="F15" s="4"/>
      <c r="G15" s="4"/>
      <c r="H15" s="8">
        <f t="shared" ref="H15:H16" si="4">IF(C15="X",1)+IF(D15="X",2)+IF(E15="X",3)+IF(F15="X",4)+IF(G15="X",5)</f>
        <v>3</v>
      </c>
      <c r="I15" s="4"/>
    </row>
    <row r="16">
      <c r="A16" s="9" t="s">
        <v>52</v>
      </c>
      <c r="B16" s="3" t="s">
        <v>53</v>
      </c>
      <c r="C16" s="3" t="s">
        <v>31</v>
      </c>
      <c r="D16" s="4"/>
      <c r="E16" s="4"/>
      <c r="F16" s="4"/>
      <c r="G16" s="4"/>
      <c r="H16" s="8">
        <f t="shared" si="4"/>
        <v>1</v>
      </c>
      <c r="I16" s="4"/>
    </row>
    <row r="17">
      <c r="A17" s="10"/>
      <c r="B17" s="6" t="s">
        <v>34</v>
      </c>
      <c r="C17" s="4"/>
      <c r="D17" s="4"/>
      <c r="E17" s="4"/>
      <c r="F17" s="4"/>
      <c r="G17" s="4"/>
      <c r="H17" s="8"/>
      <c r="I17" s="4"/>
    </row>
    <row r="18">
      <c r="A18" s="6" t="s">
        <v>54</v>
      </c>
      <c r="B18" s="3" t="s">
        <v>55</v>
      </c>
      <c r="C18" s="4"/>
      <c r="D18" s="4"/>
      <c r="E18" s="4"/>
      <c r="F18" s="3" t="s">
        <v>31</v>
      </c>
      <c r="G18" s="4"/>
      <c r="H18" s="8">
        <f t="shared" ref="H18:H19" si="5">IF(C18="X",1)+IF(D18="X",2)+IF(E18="X",3)+IF(F18="X",4)+IF(G18="X",5)</f>
        <v>4</v>
      </c>
      <c r="I18" s="4"/>
    </row>
    <row r="19">
      <c r="A19" s="9" t="s">
        <v>56</v>
      </c>
      <c r="B19" s="3" t="s">
        <v>57</v>
      </c>
      <c r="C19" s="4"/>
      <c r="D19" s="3" t="s">
        <v>31</v>
      </c>
      <c r="E19" s="4"/>
      <c r="F19" s="4"/>
      <c r="G19" s="4"/>
      <c r="H19" s="8">
        <f t="shared" si="5"/>
        <v>2</v>
      </c>
      <c r="I19" s="4"/>
    </row>
    <row r="20">
      <c r="A20" s="10"/>
      <c r="B20" s="6" t="s">
        <v>43</v>
      </c>
      <c r="C20" s="4"/>
      <c r="D20" s="4"/>
      <c r="E20" s="4"/>
      <c r="F20" s="4"/>
      <c r="G20" s="4"/>
      <c r="H20" s="8"/>
      <c r="I20" s="4"/>
    </row>
    <row r="21">
      <c r="A21" s="6" t="s">
        <v>58</v>
      </c>
      <c r="B21" s="3" t="s">
        <v>59</v>
      </c>
      <c r="C21" s="4"/>
      <c r="D21" s="4"/>
      <c r="E21" s="4"/>
      <c r="F21" s="4"/>
      <c r="G21" s="3" t="s">
        <v>31</v>
      </c>
      <c r="H21" s="8">
        <f t="shared" ref="H21:H22" si="6">IF(C21="X",1)+IF(D21="X",2)+IF(E21="X",3)+IF(F21="X",4)+IF(G21="X",5)</f>
        <v>5</v>
      </c>
      <c r="I21" s="4"/>
    </row>
    <row r="22">
      <c r="A22" s="9" t="s">
        <v>60</v>
      </c>
      <c r="B22" s="3" t="s">
        <v>61</v>
      </c>
      <c r="C22" s="4"/>
      <c r="D22" s="4"/>
      <c r="E22" s="3" t="s">
        <v>31</v>
      </c>
      <c r="F22" s="4"/>
      <c r="G22" s="4"/>
      <c r="H22" s="8">
        <f t="shared" si="6"/>
        <v>3</v>
      </c>
      <c r="I22" s="4"/>
    </row>
    <row r="23">
      <c r="A23" s="10"/>
      <c r="B23" s="6" t="s">
        <v>39</v>
      </c>
      <c r="C23" s="4"/>
      <c r="D23" s="4"/>
      <c r="E23" s="4"/>
      <c r="F23" s="4"/>
      <c r="G23" s="4"/>
      <c r="H23" s="8"/>
      <c r="I23" s="4"/>
    </row>
    <row r="24">
      <c r="A24" s="6" t="s">
        <v>62</v>
      </c>
      <c r="B24" s="3" t="s">
        <v>63</v>
      </c>
      <c r="C24" s="4"/>
      <c r="D24" s="4"/>
      <c r="E24" s="4"/>
      <c r="F24" s="3" t="s">
        <v>31</v>
      </c>
      <c r="G24" s="4"/>
      <c r="H24" s="8">
        <f>IF(C24="X",1)+IF(D24="X",2)+IF(E24="X",3)+IF(F24="X",4)+IF(G24="X",5)</f>
        <v>4</v>
      </c>
      <c r="I24" s="4"/>
    </row>
    <row r="25">
      <c r="A25" s="9" t="s">
        <v>42</v>
      </c>
      <c r="B25" s="6" t="s">
        <v>34</v>
      </c>
      <c r="C25" s="4"/>
      <c r="D25" s="4"/>
      <c r="E25" s="4"/>
      <c r="F25" s="4"/>
      <c r="G25" s="4"/>
      <c r="H25" s="8"/>
      <c r="I25" s="4"/>
    </row>
    <row r="26">
      <c r="A26" s="6" t="s">
        <v>64</v>
      </c>
      <c r="B26" s="3" t="s">
        <v>65</v>
      </c>
      <c r="C26" s="3" t="s">
        <v>31</v>
      </c>
      <c r="D26" s="4"/>
      <c r="E26" s="4"/>
      <c r="F26" s="4"/>
      <c r="G26" s="4"/>
      <c r="H26" s="8">
        <f t="shared" ref="H26:H27" si="7">IF(C26="X",1)+IF(D26="X",2)+IF(E26="X",3)+IF(F26="X",4)+IF(G26="X",5)</f>
        <v>1</v>
      </c>
      <c r="I26" s="4"/>
    </row>
    <row r="27">
      <c r="A27" s="9" t="s">
        <v>66</v>
      </c>
      <c r="B27" s="3" t="s">
        <v>67</v>
      </c>
      <c r="C27" s="4"/>
      <c r="D27" s="3" t="s">
        <v>31</v>
      </c>
      <c r="E27" s="4"/>
      <c r="F27" s="4"/>
      <c r="G27" s="4"/>
      <c r="H27" s="8">
        <f t="shared" si="7"/>
        <v>2</v>
      </c>
      <c r="I27" s="4"/>
    </row>
    <row r="28">
      <c r="A28" s="10"/>
      <c r="B28" s="6" t="s">
        <v>39</v>
      </c>
      <c r="C28" s="4"/>
      <c r="D28" s="4"/>
      <c r="E28" s="4"/>
      <c r="F28" s="4"/>
      <c r="G28" s="4"/>
      <c r="H28" s="8"/>
      <c r="I28" s="4"/>
    </row>
    <row r="29">
      <c r="A29" s="6" t="s">
        <v>68</v>
      </c>
      <c r="B29" s="3" t="s">
        <v>69</v>
      </c>
      <c r="C29" s="4"/>
      <c r="D29" s="4"/>
      <c r="E29" s="3" t="s">
        <v>31</v>
      </c>
      <c r="F29" s="4"/>
      <c r="G29" s="4"/>
      <c r="H29" s="8">
        <f>IF(C29="X",1)+IF(D29="X",2)+IF(E29="X",3)+IF(F29="X",4)+IF(G29="X",5)</f>
        <v>3</v>
      </c>
      <c r="I29" s="4"/>
    </row>
    <row r="30">
      <c r="A30" s="9" t="s">
        <v>42</v>
      </c>
      <c r="B30" s="6" t="s">
        <v>21</v>
      </c>
      <c r="C30" s="4"/>
      <c r="D30" s="4"/>
      <c r="E30" s="4"/>
      <c r="F30" s="4"/>
      <c r="G30" s="4"/>
      <c r="H30" s="8"/>
      <c r="I30" s="4"/>
    </row>
    <row r="31">
      <c r="A31" s="6" t="s">
        <v>70</v>
      </c>
      <c r="B31" s="5" t="s">
        <v>71</v>
      </c>
      <c r="C31" s="4"/>
      <c r="D31" s="4"/>
      <c r="E31" s="4"/>
      <c r="F31" s="4"/>
      <c r="G31" s="3" t="s">
        <v>31</v>
      </c>
      <c r="H31" s="8">
        <f t="shared" ref="H31:H32" si="8">IF(C31="X",1)+IF(D31="X",2)+IF(E31="X",3)+IF(F31="X",4)+IF(G31="X",5)</f>
        <v>5</v>
      </c>
      <c r="I31" s="4"/>
    </row>
    <row r="32">
      <c r="A32" s="9" t="s">
        <v>72</v>
      </c>
      <c r="B32" s="3" t="s">
        <v>73</v>
      </c>
      <c r="C32" s="4"/>
      <c r="D32" s="3" t="s">
        <v>31</v>
      </c>
      <c r="E32" s="4"/>
      <c r="F32" s="4"/>
      <c r="G32" s="4"/>
      <c r="H32" s="8">
        <f t="shared" si="8"/>
        <v>2</v>
      </c>
      <c r="I32" s="4"/>
    </row>
    <row r="33">
      <c r="A33" s="10"/>
      <c r="B33" s="6" t="s">
        <v>34</v>
      </c>
      <c r="C33" s="4"/>
      <c r="D33" s="4"/>
      <c r="E33" s="4"/>
      <c r="F33" s="4"/>
      <c r="G33" s="4"/>
      <c r="H33" s="8"/>
      <c r="I33" s="4"/>
    </row>
    <row r="34">
      <c r="A34" s="6" t="s">
        <v>74</v>
      </c>
      <c r="B34" s="3" t="s">
        <v>75</v>
      </c>
      <c r="C34" s="4"/>
      <c r="D34" s="4"/>
      <c r="E34" s="3" t="s">
        <v>31</v>
      </c>
      <c r="F34" s="4"/>
      <c r="G34" s="4"/>
      <c r="H34" s="8">
        <f t="shared" ref="H34:H35" si="9">IF(C34="X",1)+IF(D34="X",2)+IF(E34="X",3)+IF(F34="X",4)+IF(G34="X",5)</f>
        <v>3</v>
      </c>
      <c r="I34" s="4"/>
    </row>
    <row r="35">
      <c r="A35" s="9" t="s">
        <v>76</v>
      </c>
      <c r="B35" s="3" t="s">
        <v>77</v>
      </c>
      <c r="C35" s="4"/>
      <c r="D35" s="4"/>
      <c r="E35" s="3" t="s">
        <v>31</v>
      </c>
      <c r="F35" s="4"/>
      <c r="G35" s="4"/>
      <c r="H35" s="8">
        <f t="shared" si="9"/>
        <v>3</v>
      </c>
      <c r="I35" s="4"/>
    </row>
    <row r="36">
      <c r="A36" s="9" t="s">
        <v>42</v>
      </c>
      <c r="B36" s="6" t="s">
        <v>43</v>
      </c>
      <c r="C36" s="4"/>
      <c r="D36" s="4"/>
      <c r="E36" s="4"/>
      <c r="F36" s="4"/>
      <c r="G36" s="4"/>
      <c r="H36" s="8"/>
      <c r="I36" s="4"/>
    </row>
    <row r="37">
      <c r="A37" s="6" t="s">
        <v>78</v>
      </c>
      <c r="B37" s="3" t="s">
        <v>79</v>
      </c>
      <c r="C37" s="4"/>
      <c r="D37" s="3" t="s">
        <v>31</v>
      </c>
      <c r="E37" s="4"/>
      <c r="F37" s="4"/>
      <c r="G37" s="4"/>
      <c r="H37" s="8">
        <f t="shared" ref="H37:H38" si="10">IF(C37="X",1)+IF(D37="X",2)+IF(E37="X",3)+IF(F37="X",4)+IF(G37="X",5)</f>
        <v>2</v>
      </c>
      <c r="I37" s="4"/>
    </row>
    <row r="38">
      <c r="A38" s="9" t="s">
        <v>80</v>
      </c>
      <c r="B38" s="3" t="s">
        <v>81</v>
      </c>
      <c r="C38" s="4"/>
      <c r="D38" s="3" t="s">
        <v>31</v>
      </c>
      <c r="E38" s="4"/>
      <c r="F38" s="4"/>
      <c r="G38" s="4"/>
      <c r="H38" s="8">
        <f t="shared" si="10"/>
        <v>2</v>
      </c>
      <c r="I38" s="4"/>
    </row>
    <row r="39">
      <c r="A39" s="10"/>
      <c r="B39" s="6" t="s">
        <v>34</v>
      </c>
      <c r="C39" s="4"/>
      <c r="D39" s="4"/>
      <c r="E39" s="4"/>
      <c r="F39" s="4"/>
      <c r="G39" s="4"/>
      <c r="H39" s="8"/>
      <c r="I39" s="4"/>
    </row>
    <row r="40">
      <c r="A40" s="6" t="s">
        <v>82</v>
      </c>
      <c r="B40" s="3" t="s">
        <v>83</v>
      </c>
      <c r="C40" s="4"/>
      <c r="D40" s="4"/>
      <c r="E40" s="4"/>
      <c r="F40" s="3" t="s">
        <v>31</v>
      </c>
      <c r="G40" s="4"/>
      <c r="H40" s="8">
        <f t="shared" ref="H40:H41" si="11">IF(C40="X",1)+IF(D40="X",2)+IF(E40="X",3)+IF(F40="X",4)+IF(G40="X",5)</f>
        <v>4</v>
      </c>
      <c r="I40" s="4"/>
    </row>
    <row r="41">
      <c r="A41" s="9" t="s">
        <v>84</v>
      </c>
      <c r="B41" s="3" t="s">
        <v>85</v>
      </c>
      <c r="C41" s="4"/>
      <c r="D41" s="4"/>
      <c r="E41" s="3" t="s">
        <v>31</v>
      </c>
      <c r="F41" s="4"/>
      <c r="G41" s="4"/>
      <c r="H41" s="8">
        <f t="shared" si="11"/>
        <v>3</v>
      </c>
      <c r="I41" s="4"/>
    </row>
    <row r="42">
      <c r="A42" s="10"/>
      <c r="B42" s="6" t="s">
        <v>39</v>
      </c>
      <c r="C42" s="4"/>
      <c r="D42" s="4"/>
      <c r="E42" s="4"/>
      <c r="F42" s="4"/>
      <c r="G42" s="4"/>
      <c r="H42" s="8"/>
      <c r="I42" s="4"/>
    </row>
    <row r="43">
      <c r="A43" s="6" t="s">
        <v>86</v>
      </c>
      <c r="B43" s="3" t="s">
        <v>87</v>
      </c>
      <c r="C43" s="4"/>
      <c r="D43" s="4"/>
      <c r="E43" s="4"/>
      <c r="F43" s="4"/>
      <c r="G43" s="3" t="s">
        <v>31</v>
      </c>
      <c r="H43" s="8">
        <f>IF(C43="X",1)+IF(D43="X",2)+IF(E43="X",3)+IF(F43="X",4)+IF(G43="X",5)</f>
        <v>5</v>
      </c>
      <c r="I43" s="4"/>
    </row>
    <row r="44">
      <c r="A44" s="9" t="s">
        <v>42</v>
      </c>
      <c r="B44" s="6" t="s">
        <v>21</v>
      </c>
      <c r="C44" s="4"/>
      <c r="D44" s="4"/>
      <c r="E44" s="4"/>
      <c r="F44" s="4"/>
      <c r="G44" s="4"/>
      <c r="H44" s="8"/>
      <c r="I44" s="4"/>
    </row>
    <row r="45">
      <c r="A45" s="6" t="s">
        <v>88</v>
      </c>
      <c r="B45" s="5" t="s">
        <v>89</v>
      </c>
      <c r="C45" s="4"/>
      <c r="D45" s="4"/>
      <c r="E45" s="4"/>
      <c r="F45" s="4"/>
      <c r="G45" s="3" t="s">
        <v>31</v>
      </c>
      <c r="H45" s="8">
        <f t="shared" ref="H45:H46" si="12">IF(C45="X",1)+IF(D45="X",2)+IF(E45="X",3)+IF(F45="X",4)+IF(G45="X",5)</f>
        <v>5</v>
      </c>
      <c r="I45" s="4"/>
    </row>
    <row r="46">
      <c r="A46" s="9" t="s">
        <v>90</v>
      </c>
      <c r="B46" s="3" t="s">
        <v>91</v>
      </c>
      <c r="C46" s="4"/>
      <c r="D46" s="4"/>
      <c r="E46" s="3" t="s">
        <v>31</v>
      </c>
      <c r="F46" s="4"/>
      <c r="G46" s="4"/>
      <c r="H46" s="8">
        <f t="shared" si="12"/>
        <v>3</v>
      </c>
      <c r="I46" s="4"/>
    </row>
    <row r="47">
      <c r="A47" s="10"/>
      <c r="B47" s="6" t="s">
        <v>43</v>
      </c>
      <c r="C47" s="4"/>
      <c r="D47" s="4"/>
      <c r="E47" s="4"/>
      <c r="F47" s="4"/>
      <c r="G47" s="4"/>
      <c r="H47" s="8"/>
      <c r="I47" s="4"/>
    </row>
    <row r="48">
      <c r="A48" s="6" t="s">
        <v>92</v>
      </c>
      <c r="B48" s="3" t="s">
        <v>93</v>
      </c>
      <c r="C48" s="4"/>
      <c r="D48" s="4"/>
      <c r="E48" s="4"/>
      <c r="F48" s="4"/>
      <c r="G48" s="3" t="s">
        <v>31</v>
      </c>
      <c r="H48" s="8">
        <f t="shared" ref="H48:H49" si="13">IF(C48="X",1)+IF(D48="X",2)+IF(E48="X",3)+IF(F48="X",4)+IF(G48="X",5)</f>
        <v>5</v>
      </c>
      <c r="I48" s="4"/>
    </row>
    <row r="49">
      <c r="A49" s="9" t="s">
        <v>94</v>
      </c>
      <c r="B49" s="3" t="s">
        <v>95</v>
      </c>
      <c r="C49" s="4"/>
      <c r="D49" s="4"/>
      <c r="E49" s="3" t="s">
        <v>31</v>
      </c>
      <c r="F49" s="4"/>
      <c r="G49" s="4"/>
      <c r="H49" s="8">
        <f t="shared" si="13"/>
        <v>3</v>
      </c>
      <c r="I49" s="4"/>
    </row>
    <row r="50">
      <c r="A50" s="10"/>
      <c r="B50" s="6" t="s">
        <v>39</v>
      </c>
      <c r="C50" s="4"/>
      <c r="D50" s="4"/>
      <c r="E50" s="4"/>
      <c r="F50" s="4"/>
      <c r="G50" s="4"/>
      <c r="H50" s="8"/>
      <c r="I50" s="4"/>
    </row>
    <row r="51">
      <c r="A51" s="6" t="s">
        <v>96</v>
      </c>
      <c r="B51" s="3" t="s">
        <v>97</v>
      </c>
      <c r="C51" s="4"/>
      <c r="D51" s="4"/>
      <c r="E51" s="4"/>
      <c r="F51" s="4"/>
      <c r="G51" s="3" t="s">
        <v>31</v>
      </c>
      <c r="H51" s="8">
        <f>IF(C51="X",1)+IF(D51="X",2)+IF(E51="X",3)+IF(F51="X",4)+IF(G51="X",5)</f>
        <v>5</v>
      </c>
      <c r="I51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86.63"/>
    <col customWidth="1" min="9" max="9" width="38.88"/>
  </cols>
  <sheetData>
    <row r="1">
      <c r="A1" s="4"/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7" t="s">
        <v>27</v>
      </c>
      <c r="I1" s="7" t="s">
        <v>28</v>
      </c>
    </row>
    <row r="2">
      <c r="A2" s="6" t="s">
        <v>29</v>
      </c>
      <c r="B2" s="3" t="s">
        <v>30</v>
      </c>
      <c r="C2" s="4"/>
      <c r="D2" s="3" t="s">
        <v>31</v>
      </c>
      <c r="E2" s="4"/>
      <c r="F2" s="4"/>
      <c r="G2" s="4"/>
      <c r="H2" s="8">
        <f t="shared" ref="H2:H3" si="1">IF(C2="X",1)+IF(D2="X",2)+IF(E2="X",3)+IF(F2="X",4)+IF(G2="X",5)</f>
        <v>2</v>
      </c>
      <c r="I2" s="4"/>
    </row>
    <row r="3">
      <c r="A3" s="9" t="s">
        <v>32</v>
      </c>
      <c r="B3" s="3" t="s">
        <v>33</v>
      </c>
      <c r="C3" s="4"/>
      <c r="D3" s="3" t="s">
        <v>31</v>
      </c>
      <c r="E3" s="4"/>
      <c r="F3" s="4"/>
      <c r="G3" s="4"/>
      <c r="H3" s="8">
        <f t="shared" si="1"/>
        <v>2</v>
      </c>
      <c r="I3" s="4"/>
    </row>
    <row r="4">
      <c r="A4" s="10"/>
      <c r="B4" s="6" t="s">
        <v>34</v>
      </c>
      <c r="C4" s="4"/>
      <c r="D4" s="4"/>
      <c r="E4" s="4"/>
      <c r="F4" s="4"/>
      <c r="G4" s="4"/>
      <c r="H4" s="8"/>
      <c r="I4" s="4"/>
    </row>
    <row r="5">
      <c r="A5" s="6" t="s">
        <v>35</v>
      </c>
      <c r="B5" s="3" t="s">
        <v>36</v>
      </c>
      <c r="C5" s="3" t="s">
        <v>31</v>
      </c>
      <c r="D5" s="4"/>
      <c r="E5" s="4"/>
      <c r="F5" s="4"/>
      <c r="G5" s="4"/>
      <c r="H5" s="8">
        <f t="shared" ref="H5:H6" si="2">IF(C5="X",1)+IF(D5="X",2)+IF(E5="X",3)+IF(F5="X",4)+IF(G5="X",5)</f>
        <v>1</v>
      </c>
      <c r="I5" s="4"/>
    </row>
    <row r="6">
      <c r="A6" s="9" t="s">
        <v>37</v>
      </c>
      <c r="B6" s="3" t="s">
        <v>38</v>
      </c>
      <c r="C6" s="3" t="s">
        <v>31</v>
      </c>
      <c r="D6" s="4"/>
      <c r="E6" s="4"/>
      <c r="F6" s="4"/>
      <c r="G6" s="4"/>
      <c r="H6" s="8">
        <f t="shared" si="2"/>
        <v>1</v>
      </c>
      <c r="I6" s="4"/>
    </row>
    <row r="7">
      <c r="A7" s="10"/>
      <c r="B7" s="6" t="s">
        <v>39</v>
      </c>
      <c r="C7" s="4"/>
      <c r="D7" s="4"/>
      <c r="E7" s="4"/>
      <c r="F7" s="4"/>
      <c r="G7" s="4"/>
      <c r="H7" s="8"/>
      <c r="I7" s="4"/>
    </row>
    <row r="8">
      <c r="A8" s="6" t="s">
        <v>40</v>
      </c>
      <c r="B8" s="3" t="s">
        <v>41</v>
      </c>
      <c r="C8" s="4"/>
      <c r="D8" s="4"/>
      <c r="E8" s="3" t="s">
        <v>31</v>
      </c>
      <c r="F8" s="4"/>
      <c r="G8" s="4"/>
      <c r="H8" s="8">
        <f>IF(C8="X",1)+IF(D8="X",2)+IF(E8="X",3)+IF(F8="X",4)+IF(G8="X",5)</f>
        <v>3</v>
      </c>
      <c r="I8" s="4"/>
    </row>
    <row r="9">
      <c r="A9" s="9" t="s">
        <v>42</v>
      </c>
      <c r="B9" s="6" t="s">
        <v>43</v>
      </c>
      <c r="C9" s="4"/>
      <c r="D9" s="4"/>
      <c r="E9" s="4"/>
      <c r="F9" s="4"/>
      <c r="G9" s="4"/>
      <c r="H9" s="8"/>
      <c r="I9" s="4"/>
    </row>
    <row r="10">
      <c r="A10" s="6" t="s">
        <v>44</v>
      </c>
      <c r="B10" s="3" t="s">
        <v>45</v>
      </c>
      <c r="C10" s="4"/>
      <c r="D10" s="4"/>
      <c r="E10" s="3" t="s">
        <v>31</v>
      </c>
      <c r="F10" s="4"/>
      <c r="G10" s="4"/>
      <c r="H10" s="8">
        <f t="shared" ref="H10:H11" si="3">IF(C10="X",1)+IF(D10="X",2)+IF(E10="X",3)+IF(F10="X",4)+IF(G10="X",5)</f>
        <v>3</v>
      </c>
      <c r="I10" s="4"/>
    </row>
    <row r="11">
      <c r="A11" s="9" t="s">
        <v>46</v>
      </c>
      <c r="B11" s="3" t="s">
        <v>47</v>
      </c>
      <c r="C11" s="4"/>
      <c r="D11" s="4"/>
      <c r="E11" s="4"/>
      <c r="F11" s="4"/>
      <c r="G11" s="3" t="s">
        <v>31</v>
      </c>
      <c r="H11" s="8">
        <f t="shared" si="3"/>
        <v>5</v>
      </c>
      <c r="I11" s="4"/>
    </row>
    <row r="12">
      <c r="A12" s="10"/>
      <c r="B12" s="6" t="s">
        <v>39</v>
      </c>
      <c r="C12" s="4"/>
      <c r="D12" s="4"/>
      <c r="E12" s="4"/>
      <c r="F12" s="4"/>
      <c r="G12" s="4"/>
      <c r="H12" s="8"/>
      <c r="I12" s="4"/>
    </row>
    <row r="13">
      <c r="A13" s="6" t="s">
        <v>48</v>
      </c>
      <c r="B13" s="3" t="s">
        <v>49</v>
      </c>
      <c r="C13" s="4"/>
      <c r="D13" s="4"/>
      <c r="E13" s="4"/>
      <c r="F13" s="3" t="s">
        <v>31</v>
      </c>
      <c r="G13" s="4"/>
      <c r="H13" s="8">
        <f>IF(C13="X",1)+IF(D13="X",2)+IF(E13="X",3)+IF(F13="X",4)+IF(G13="X",5)</f>
        <v>4</v>
      </c>
      <c r="I13" s="4"/>
    </row>
    <row r="14">
      <c r="A14" s="9" t="s">
        <v>42</v>
      </c>
      <c r="B14" s="6" t="s">
        <v>21</v>
      </c>
      <c r="C14" s="4"/>
      <c r="D14" s="4"/>
      <c r="E14" s="4"/>
      <c r="F14" s="4"/>
      <c r="G14" s="4"/>
      <c r="H14" s="8"/>
      <c r="I14" s="4"/>
    </row>
    <row r="15">
      <c r="A15" s="6" t="s">
        <v>50</v>
      </c>
      <c r="B15" s="3" t="s">
        <v>51</v>
      </c>
      <c r="C15" s="4"/>
      <c r="D15" s="4"/>
      <c r="E15" s="3" t="s">
        <v>31</v>
      </c>
      <c r="F15" s="4"/>
      <c r="G15" s="4"/>
      <c r="H15" s="8">
        <f t="shared" ref="H15:H16" si="4">IF(C15="X",1)+IF(D15="X",2)+IF(E15="X",3)+IF(F15="X",4)+IF(G15="X",5)</f>
        <v>3</v>
      </c>
      <c r="I15" s="4"/>
    </row>
    <row r="16">
      <c r="A16" s="9" t="s">
        <v>52</v>
      </c>
      <c r="B16" s="3" t="s">
        <v>53</v>
      </c>
      <c r="C16" s="4"/>
      <c r="D16" s="4"/>
      <c r="E16" s="3" t="s">
        <v>31</v>
      </c>
      <c r="F16" s="4"/>
      <c r="G16" s="4"/>
      <c r="H16" s="8">
        <f t="shared" si="4"/>
        <v>3</v>
      </c>
      <c r="I16" s="4"/>
    </row>
    <row r="17">
      <c r="A17" s="10"/>
      <c r="B17" s="6" t="s">
        <v>34</v>
      </c>
      <c r="C17" s="4"/>
      <c r="D17" s="4"/>
      <c r="E17" s="4"/>
      <c r="F17" s="4"/>
      <c r="G17" s="4"/>
      <c r="H17" s="8"/>
      <c r="I17" s="4"/>
    </row>
    <row r="18">
      <c r="A18" s="6" t="s">
        <v>54</v>
      </c>
      <c r="B18" s="3" t="s">
        <v>55</v>
      </c>
      <c r="C18" s="4"/>
      <c r="D18" s="4"/>
      <c r="E18" s="4"/>
      <c r="F18" s="3" t="s">
        <v>31</v>
      </c>
      <c r="G18" s="4"/>
      <c r="H18" s="8">
        <f t="shared" ref="H18:H19" si="5">IF(C18="X",1)+IF(D18="X",2)+IF(E18="X",3)+IF(F18="X",4)+IF(G18="X",5)</f>
        <v>4</v>
      </c>
      <c r="I18" s="4"/>
    </row>
    <row r="19">
      <c r="A19" s="9" t="s">
        <v>56</v>
      </c>
      <c r="B19" s="3" t="s">
        <v>57</v>
      </c>
      <c r="C19" s="3" t="s">
        <v>31</v>
      </c>
      <c r="D19" s="4"/>
      <c r="E19" s="4"/>
      <c r="F19" s="4"/>
      <c r="G19" s="4"/>
      <c r="H19" s="8">
        <f t="shared" si="5"/>
        <v>1</v>
      </c>
      <c r="I19" s="4"/>
    </row>
    <row r="20">
      <c r="A20" s="10"/>
      <c r="B20" s="6" t="s">
        <v>43</v>
      </c>
      <c r="C20" s="4"/>
      <c r="D20" s="4"/>
      <c r="E20" s="4"/>
      <c r="F20" s="4"/>
      <c r="G20" s="4"/>
      <c r="H20" s="8"/>
      <c r="I20" s="4"/>
    </row>
    <row r="21">
      <c r="A21" s="6" t="s">
        <v>58</v>
      </c>
      <c r="B21" s="3" t="s">
        <v>59</v>
      </c>
      <c r="C21" s="4"/>
      <c r="D21" s="4"/>
      <c r="E21" s="4"/>
      <c r="F21" s="4"/>
      <c r="G21" s="3" t="s">
        <v>31</v>
      </c>
      <c r="H21" s="8">
        <f t="shared" ref="H21:H22" si="6">IF(C21="X",1)+IF(D21="X",2)+IF(E21="X",3)+IF(F21="X",4)+IF(G21="X",5)</f>
        <v>5</v>
      </c>
      <c r="I21" s="4"/>
    </row>
    <row r="22">
      <c r="A22" s="9" t="s">
        <v>60</v>
      </c>
      <c r="B22" s="3" t="s">
        <v>61</v>
      </c>
      <c r="C22" s="4"/>
      <c r="D22" s="4"/>
      <c r="E22" s="3" t="s">
        <v>31</v>
      </c>
      <c r="F22" s="4"/>
      <c r="G22" s="4"/>
      <c r="H22" s="8">
        <f t="shared" si="6"/>
        <v>3</v>
      </c>
      <c r="I22" s="4"/>
    </row>
    <row r="23">
      <c r="A23" s="10"/>
      <c r="B23" s="6" t="s">
        <v>39</v>
      </c>
      <c r="C23" s="4"/>
      <c r="D23" s="4"/>
      <c r="E23" s="4"/>
      <c r="F23" s="4"/>
      <c r="G23" s="4"/>
      <c r="H23" s="8"/>
      <c r="I23" s="4"/>
    </row>
    <row r="24">
      <c r="A24" s="6" t="s">
        <v>62</v>
      </c>
      <c r="B24" s="3" t="s">
        <v>63</v>
      </c>
      <c r="C24" s="4"/>
      <c r="D24" s="4"/>
      <c r="E24" s="4"/>
      <c r="F24" s="4"/>
      <c r="G24" s="3" t="s">
        <v>31</v>
      </c>
      <c r="H24" s="8">
        <f>IF(C24="X",1)+IF(D24="X",2)+IF(E24="X",3)+IF(F24="X",4)+IF(G24="X",5)</f>
        <v>5</v>
      </c>
      <c r="I24" s="4"/>
    </row>
    <row r="25">
      <c r="A25" s="9" t="s">
        <v>42</v>
      </c>
      <c r="B25" s="6" t="s">
        <v>34</v>
      </c>
      <c r="C25" s="4"/>
      <c r="D25" s="4"/>
      <c r="E25" s="4"/>
      <c r="F25" s="4"/>
      <c r="G25" s="4"/>
      <c r="H25" s="8"/>
      <c r="I25" s="4"/>
    </row>
    <row r="26">
      <c r="A26" s="6" t="s">
        <v>64</v>
      </c>
      <c r="B26" s="3" t="s">
        <v>65</v>
      </c>
      <c r="C26" s="4"/>
      <c r="D26" s="4"/>
      <c r="E26" s="3" t="s">
        <v>31</v>
      </c>
      <c r="F26" s="4"/>
      <c r="G26" s="4"/>
      <c r="H26" s="8">
        <f t="shared" ref="H26:H27" si="7">IF(C26="X",1)+IF(D26="X",2)+IF(E26="X",3)+IF(F26="X",4)+IF(G26="X",5)</f>
        <v>3</v>
      </c>
      <c r="I26" s="4"/>
    </row>
    <row r="27">
      <c r="A27" s="9" t="s">
        <v>66</v>
      </c>
      <c r="B27" s="3" t="s">
        <v>67</v>
      </c>
      <c r="C27" s="3" t="s">
        <v>31</v>
      </c>
      <c r="D27" s="4"/>
      <c r="E27" s="4"/>
      <c r="F27" s="4"/>
      <c r="G27" s="4"/>
      <c r="H27" s="8">
        <f t="shared" si="7"/>
        <v>1</v>
      </c>
      <c r="I27" s="4"/>
    </row>
    <row r="28">
      <c r="A28" s="10"/>
      <c r="B28" s="6" t="s">
        <v>39</v>
      </c>
      <c r="C28" s="4"/>
      <c r="D28" s="4"/>
      <c r="E28" s="4"/>
      <c r="F28" s="4"/>
      <c r="G28" s="4"/>
      <c r="H28" s="8"/>
      <c r="I28" s="4"/>
    </row>
    <row r="29">
      <c r="A29" s="6" t="s">
        <v>68</v>
      </c>
      <c r="B29" s="3" t="s">
        <v>69</v>
      </c>
      <c r="C29" s="4"/>
      <c r="D29" s="3" t="s">
        <v>31</v>
      </c>
      <c r="E29" s="4"/>
      <c r="F29" s="4"/>
      <c r="G29" s="4"/>
      <c r="H29" s="8">
        <f>IF(C29="X",1)+IF(D29="X",2)+IF(E29="X",3)+IF(F29="X",4)+IF(G29="X",5)</f>
        <v>2</v>
      </c>
      <c r="I29" s="4"/>
    </row>
    <row r="30">
      <c r="A30" s="9" t="s">
        <v>42</v>
      </c>
      <c r="B30" s="6" t="s">
        <v>21</v>
      </c>
      <c r="C30" s="4"/>
      <c r="D30" s="4"/>
      <c r="E30" s="4"/>
      <c r="F30" s="4"/>
      <c r="G30" s="4"/>
      <c r="H30" s="8"/>
      <c r="I30" s="4"/>
    </row>
    <row r="31">
      <c r="A31" s="6" t="s">
        <v>70</v>
      </c>
      <c r="B31" s="5" t="s">
        <v>71</v>
      </c>
      <c r="C31" s="4"/>
      <c r="D31" s="4"/>
      <c r="E31" s="3" t="s">
        <v>31</v>
      </c>
      <c r="F31" s="4"/>
      <c r="G31" s="4"/>
      <c r="H31" s="8">
        <f t="shared" ref="H31:H32" si="8">IF(C31="X",1)+IF(D31="X",2)+IF(E31="X",3)+IF(F31="X",4)+IF(G31="X",5)</f>
        <v>3</v>
      </c>
      <c r="I31" s="4"/>
    </row>
    <row r="32">
      <c r="A32" s="9" t="s">
        <v>72</v>
      </c>
      <c r="B32" s="3" t="s">
        <v>73</v>
      </c>
      <c r="C32" s="4"/>
      <c r="D32" s="4"/>
      <c r="E32" s="4"/>
      <c r="F32" s="3" t="s">
        <v>31</v>
      </c>
      <c r="G32" s="4"/>
      <c r="H32" s="8">
        <f t="shared" si="8"/>
        <v>4</v>
      </c>
      <c r="I32" s="4"/>
    </row>
    <row r="33">
      <c r="A33" s="10"/>
      <c r="B33" s="6" t="s">
        <v>34</v>
      </c>
      <c r="C33" s="4"/>
      <c r="D33" s="4"/>
      <c r="E33" s="4"/>
      <c r="F33" s="4"/>
      <c r="G33" s="4"/>
      <c r="H33" s="8"/>
      <c r="I33" s="4"/>
    </row>
    <row r="34">
      <c r="A34" s="6" t="s">
        <v>74</v>
      </c>
      <c r="B34" s="3" t="s">
        <v>75</v>
      </c>
      <c r="C34" s="3" t="s">
        <v>31</v>
      </c>
      <c r="D34" s="4"/>
      <c r="E34" s="4"/>
      <c r="F34" s="4"/>
      <c r="G34" s="4"/>
      <c r="H34" s="8">
        <f t="shared" ref="H34:H35" si="9">IF(C34="X",1)+IF(D34="X",2)+IF(E34="X",3)+IF(F34="X",4)+IF(G34="X",5)</f>
        <v>1</v>
      </c>
      <c r="I34" s="4"/>
    </row>
    <row r="35">
      <c r="A35" s="9" t="s">
        <v>76</v>
      </c>
      <c r="B35" s="3" t="s">
        <v>77</v>
      </c>
      <c r="C35" s="4"/>
      <c r="D35" s="3" t="s">
        <v>31</v>
      </c>
      <c r="E35" s="4"/>
      <c r="F35" s="4"/>
      <c r="G35" s="4"/>
      <c r="H35" s="8">
        <f t="shared" si="9"/>
        <v>2</v>
      </c>
      <c r="I35" s="4"/>
    </row>
    <row r="36">
      <c r="A36" s="9" t="s">
        <v>42</v>
      </c>
      <c r="B36" s="6" t="s">
        <v>43</v>
      </c>
      <c r="C36" s="4"/>
      <c r="D36" s="4"/>
      <c r="E36" s="4"/>
      <c r="F36" s="4"/>
      <c r="G36" s="4"/>
      <c r="H36" s="8"/>
      <c r="I36" s="4"/>
    </row>
    <row r="37">
      <c r="A37" s="6" t="s">
        <v>78</v>
      </c>
      <c r="B37" s="3" t="s">
        <v>79</v>
      </c>
      <c r="C37" s="3" t="s">
        <v>31</v>
      </c>
      <c r="D37" s="4"/>
      <c r="E37" s="4"/>
      <c r="F37" s="4"/>
      <c r="G37" s="4"/>
      <c r="H37" s="8">
        <f t="shared" ref="H37:H38" si="10">IF(C37="X",1)+IF(D37="X",2)+IF(E37="X",3)+IF(F37="X",4)+IF(G37="X",5)</f>
        <v>1</v>
      </c>
      <c r="I37" s="4"/>
    </row>
    <row r="38">
      <c r="A38" s="9" t="s">
        <v>80</v>
      </c>
      <c r="B38" s="3" t="s">
        <v>81</v>
      </c>
      <c r="C38" s="3" t="s">
        <v>31</v>
      </c>
      <c r="D38" s="4"/>
      <c r="E38" s="4"/>
      <c r="F38" s="4"/>
      <c r="G38" s="4"/>
      <c r="H38" s="8">
        <f t="shared" si="10"/>
        <v>1</v>
      </c>
      <c r="I38" s="4"/>
    </row>
    <row r="39">
      <c r="A39" s="10"/>
      <c r="B39" s="6" t="s">
        <v>34</v>
      </c>
      <c r="C39" s="4"/>
      <c r="D39" s="4"/>
      <c r="E39" s="4"/>
      <c r="F39" s="4"/>
      <c r="G39" s="4"/>
      <c r="H39" s="8"/>
      <c r="I39" s="4"/>
    </row>
    <row r="40">
      <c r="A40" s="6" t="s">
        <v>82</v>
      </c>
      <c r="B40" s="3" t="s">
        <v>83</v>
      </c>
      <c r="C40" s="4"/>
      <c r="D40" s="4"/>
      <c r="E40" s="4"/>
      <c r="F40" s="4"/>
      <c r="G40" s="3" t="s">
        <v>31</v>
      </c>
      <c r="H40" s="8">
        <f t="shared" ref="H40:H41" si="11">IF(C40="X",1)+IF(D40="X",2)+IF(E40="X",3)+IF(F40="X",4)+IF(G40="X",5)</f>
        <v>5</v>
      </c>
      <c r="I40" s="4"/>
    </row>
    <row r="41">
      <c r="A41" s="9" t="s">
        <v>84</v>
      </c>
      <c r="B41" s="3" t="s">
        <v>85</v>
      </c>
      <c r="C41" s="4"/>
      <c r="D41" s="4"/>
      <c r="E41" s="4"/>
      <c r="F41" s="3" t="s">
        <v>31</v>
      </c>
      <c r="G41" s="4"/>
      <c r="H41" s="8">
        <f t="shared" si="11"/>
        <v>4</v>
      </c>
      <c r="I41" s="4"/>
    </row>
    <row r="42">
      <c r="A42" s="10"/>
      <c r="B42" s="6" t="s">
        <v>39</v>
      </c>
      <c r="C42" s="4"/>
      <c r="D42" s="4"/>
      <c r="E42" s="4"/>
      <c r="F42" s="4"/>
      <c r="G42" s="4"/>
      <c r="H42" s="8"/>
      <c r="I42" s="4"/>
    </row>
    <row r="43">
      <c r="A43" s="6" t="s">
        <v>86</v>
      </c>
      <c r="B43" s="3" t="s">
        <v>87</v>
      </c>
      <c r="C43" s="4"/>
      <c r="D43" s="4"/>
      <c r="E43" s="3" t="s">
        <v>31</v>
      </c>
      <c r="F43" s="4"/>
      <c r="G43" s="4"/>
      <c r="H43" s="8">
        <f>IF(C43="X",1)+IF(D43="X",2)+IF(E43="X",3)+IF(F43="X",4)+IF(G43="X",5)</f>
        <v>3</v>
      </c>
      <c r="I43" s="4"/>
    </row>
    <row r="44">
      <c r="A44" s="9" t="s">
        <v>42</v>
      </c>
      <c r="B44" s="6" t="s">
        <v>21</v>
      </c>
      <c r="C44" s="4"/>
      <c r="D44" s="4"/>
      <c r="E44" s="4"/>
      <c r="F44" s="4"/>
      <c r="G44" s="4"/>
      <c r="H44" s="8"/>
      <c r="I44" s="4"/>
    </row>
    <row r="45">
      <c r="A45" s="6" t="s">
        <v>88</v>
      </c>
      <c r="B45" s="5" t="s">
        <v>89</v>
      </c>
      <c r="C45" s="4"/>
      <c r="D45" s="4"/>
      <c r="E45" s="3" t="s">
        <v>31</v>
      </c>
      <c r="F45" s="4"/>
      <c r="G45" s="4"/>
      <c r="H45" s="8">
        <f t="shared" ref="H45:H46" si="12">IF(C45="X",1)+IF(D45="X",2)+IF(E45="X",3)+IF(F45="X",4)+IF(G45="X",5)</f>
        <v>3</v>
      </c>
      <c r="I45" s="4"/>
    </row>
    <row r="46">
      <c r="A46" s="9" t="s">
        <v>90</v>
      </c>
      <c r="B46" s="3" t="s">
        <v>91</v>
      </c>
      <c r="C46" s="4"/>
      <c r="D46" s="3" t="s">
        <v>31</v>
      </c>
      <c r="E46" s="4"/>
      <c r="F46" s="4"/>
      <c r="G46" s="4"/>
      <c r="H46" s="8">
        <f t="shared" si="12"/>
        <v>2</v>
      </c>
      <c r="I46" s="4"/>
    </row>
    <row r="47">
      <c r="A47" s="10"/>
      <c r="B47" s="6" t="s">
        <v>43</v>
      </c>
      <c r="C47" s="4"/>
      <c r="D47" s="4"/>
      <c r="E47" s="4"/>
      <c r="F47" s="4"/>
      <c r="G47" s="4"/>
      <c r="H47" s="8"/>
      <c r="I47" s="4"/>
    </row>
    <row r="48">
      <c r="A48" s="6" t="s">
        <v>92</v>
      </c>
      <c r="B48" s="3" t="s">
        <v>93</v>
      </c>
      <c r="C48" s="4"/>
      <c r="D48" s="4"/>
      <c r="E48" s="4"/>
      <c r="F48" s="3" t="s">
        <v>31</v>
      </c>
      <c r="G48" s="4"/>
      <c r="H48" s="8">
        <f t="shared" ref="H48:H49" si="13">IF(C48="X",1)+IF(D48="X",2)+IF(E48="X",3)+IF(F48="X",4)+IF(G48="X",5)</f>
        <v>4</v>
      </c>
      <c r="I48" s="4"/>
    </row>
    <row r="49">
      <c r="A49" s="9" t="s">
        <v>94</v>
      </c>
      <c r="B49" s="3" t="s">
        <v>95</v>
      </c>
      <c r="C49" s="4"/>
      <c r="D49" s="4"/>
      <c r="E49" s="3" t="s">
        <v>31</v>
      </c>
      <c r="F49" s="4"/>
      <c r="G49" s="4"/>
      <c r="H49" s="8">
        <f t="shared" si="13"/>
        <v>3</v>
      </c>
      <c r="I49" s="4"/>
    </row>
    <row r="50">
      <c r="A50" s="10"/>
      <c r="B50" s="6" t="s">
        <v>39</v>
      </c>
      <c r="C50" s="4"/>
      <c r="D50" s="4"/>
      <c r="E50" s="4"/>
      <c r="F50" s="4"/>
      <c r="G50" s="4"/>
      <c r="H50" s="8"/>
      <c r="I50" s="4"/>
    </row>
    <row r="51">
      <c r="A51" s="6" t="s">
        <v>96</v>
      </c>
      <c r="B51" s="3" t="s">
        <v>97</v>
      </c>
      <c r="C51" s="4"/>
      <c r="D51" s="4"/>
      <c r="E51" s="4"/>
      <c r="F51" s="4"/>
      <c r="G51" s="3" t="s">
        <v>31</v>
      </c>
      <c r="H51" s="8">
        <f>IF(C51="X",1)+IF(D51="X",2)+IF(E51="X",3)+IF(F51="X",4)+IF(G51="X",5)</f>
        <v>5</v>
      </c>
      <c r="I51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86.63"/>
    <col customWidth="1" min="9" max="9" width="38.88"/>
  </cols>
  <sheetData>
    <row r="1">
      <c r="A1" s="4"/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7" t="s">
        <v>27</v>
      </c>
      <c r="I1" s="7" t="s">
        <v>28</v>
      </c>
    </row>
    <row r="2">
      <c r="A2" s="6" t="s">
        <v>29</v>
      </c>
      <c r="B2" s="3" t="s">
        <v>30</v>
      </c>
      <c r="C2" s="4"/>
      <c r="D2" s="4"/>
      <c r="E2" s="4"/>
      <c r="F2" s="4"/>
      <c r="G2" s="3" t="s">
        <v>31</v>
      </c>
      <c r="H2" s="8">
        <f t="shared" ref="H2:H3" si="1">IF(C2="X",1)+IF(D2="X",2)+IF(E2="X",3)+IF(F2="X",4)+IF(G2="X",5)</f>
        <v>5</v>
      </c>
      <c r="I2" s="4"/>
    </row>
    <row r="3">
      <c r="A3" s="9" t="s">
        <v>32</v>
      </c>
      <c r="B3" s="3" t="s">
        <v>33</v>
      </c>
      <c r="C3" s="4"/>
      <c r="D3" s="4"/>
      <c r="E3" s="4"/>
      <c r="F3" s="3" t="s">
        <v>31</v>
      </c>
      <c r="G3" s="4"/>
      <c r="H3" s="8">
        <f t="shared" si="1"/>
        <v>4</v>
      </c>
      <c r="I3" s="4"/>
    </row>
    <row r="4">
      <c r="A4" s="10"/>
      <c r="B4" s="6" t="s">
        <v>34</v>
      </c>
      <c r="C4" s="4"/>
      <c r="D4" s="4"/>
      <c r="E4" s="4"/>
      <c r="F4" s="4"/>
      <c r="G4" s="4"/>
      <c r="H4" s="8"/>
      <c r="I4" s="4"/>
    </row>
    <row r="5">
      <c r="A5" s="6" t="s">
        <v>35</v>
      </c>
      <c r="B5" s="3" t="s">
        <v>36</v>
      </c>
      <c r="C5" s="4"/>
      <c r="D5" s="4"/>
      <c r="E5" s="4"/>
      <c r="F5" s="3" t="s">
        <v>31</v>
      </c>
      <c r="G5" s="4"/>
      <c r="H5" s="8">
        <f t="shared" ref="H5:H6" si="2">IF(C5="X",1)+IF(D5="X",2)+IF(E5="X",3)+IF(F5="X",4)+IF(G5="X",5)</f>
        <v>4</v>
      </c>
      <c r="I5" s="4"/>
    </row>
    <row r="6">
      <c r="A6" s="9" t="s">
        <v>37</v>
      </c>
      <c r="B6" s="3" t="s">
        <v>38</v>
      </c>
      <c r="C6" s="4"/>
      <c r="D6" s="4"/>
      <c r="E6" s="4"/>
      <c r="F6" s="4"/>
      <c r="G6" s="3" t="s">
        <v>31</v>
      </c>
      <c r="H6" s="8">
        <f t="shared" si="2"/>
        <v>5</v>
      </c>
      <c r="I6" s="4"/>
    </row>
    <row r="7">
      <c r="A7" s="10"/>
      <c r="B7" s="6" t="s">
        <v>39</v>
      </c>
      <c r="C7" s="4"/>
      <c r="D7" s="4"/>
      <c r="E7" s="4"/>
      <c r="F7" s="4"/>
      <c r="G7" s="4"/>
      <c r="H7" s="8"/>
      <c r="I7" s="4"/>
    </row>
    <row r="8">
      <c r="A8" s="6" t="s">
        <v>40</v>
      </c>
      <c r="B8" s="3" t="s">
        <v>41</v>
      </c>
      <c r="C8" s="4"/>
      <c r="D8" s="4"/>
      <c r="E8" s="4"/>
      <c r="F8" s="4"/>
      <c r="G8" s="3" t="s">
        <v>31</v>
      </c>
      <c r="H8" s="8">
        <f>IF(C8="X",1)+IF(D8="X",2)+IF(E8="X",3)+IF(F8="X",4)+IF(G8="X",5)</f>
        <v>5</v>
      </c>
      <c r="I8" s="4"/>
    </row>
    <row r="9">
      <c r="A9" s="9" t="s">
        <v>42</v>
      </c>
      <c r="B9" s="6" t="s">
        <v>43</v>
      </c>
      <c r="C9" s="4"/>
      <c r="D9" s="4"/>
      <c r="E9" s="4"/>
      <c r="F9" s="4"/>
      <c r="G9" s="4"/>
      <c r="H9" s="8"/>
      <c r="I9" s="4"/>
    </row>
    <row r="10">
      <c r="A10" s="6" t="s">
        <v>44</v>
      </c>
      <c r="B10" s="3" t="s">
        <v>45</v>
      </c>
      <c r="C10" s="4"/>
      <c r="D10" s="4"/>
      <c r="E10" s="3" t="s">
        <v>31</v>
      </c>
      <c r="F10" s="4"/>
      <c r="G10" s="4"/>
      <c r="H10" s="8">
        <f t="shared" ref="H10:H11" si="3">IF(C10="X",1)+IF(D10="X",2)+IF(E10="X",3)+IF(F10="X",4)+IF(G10="X",5)</f>
        <v>3</v>
      </c>
      <c r="I10" s="4"/>
    </row>
    <row r="11">
      <c r="A11" s="9" t="s">
        <v>46</v>
      </c>
      <c r="B11" s="3" t="s">
        <v>47</v>
      </c>
      <c r="C11" s="4"/>
      <c r="D11" s="4"/>
      <c r="E11" s="4"/>
      <c r="F11" s="3" t="s">
        <v>31</v>
      </c>
      <c r="G11" s="4"/>
      <c r="H11" s="8">
        <f t="shared" si="3"/>
        <v>4</v>
      </c>
      <c r="I11" s="4"/>
    </row>
    <row r="12">
      <c r="A12" s="10"/>
      <c r="B12" s="6" t="s">
        <v>39</v>
      </c>
      <c r="C12" s="4"/>
      <c r="D12" s="4"/>
      <c r="E12" s="4"/>
      <c r="F12" s="4"/>
      <c r="G12" s="4"/>
      <c r="H12" s="8"/>
      <c r="I12" s="4"/>
    </row>
    <row r="13">
      <c r="A13" s="6" t="s">
        <v>48</v>
      </c>
      <c r="B13" s="3" t="s">
        <v>49</v>
      </c>
      <c r="C13" s="4"/>
      <c r="D13" s="4"/>
      <c r="E13" s="4"/>
      <c r="F13" s="3" t="s">
        <v>31</v>
      </c>
      <c r="G13" s="4"/>
      <c r="H13" s="8">
        <f>IF(C13="X",1)+IF(D13="X",2)+IF(E13="X",3)+IF(F13="X",4)+IF(G13="X",5)</f>
        <v>4</v>
      </c>
      <c r="I13" s="4"/>
    </row>
    <row r="14">
      <c r="A14" s="9" t="s">
        <v>42</v>
      </c>
      <c r="B14" s="6" t="s">
        <v>21</v>
      </c>
      <c r="C14" s="4"/>
      <c r="D14" s="4"/>
      <c r="E14" s="4"/>
      <c r="F14" s="4"/>
      <c r="G14" s="4"/>
      <c r="H14" s="8"/>
      <c r="I14" s="4"/>
    </row>
    <row r="15">
      <c r="A15" s="6" t="s">
        <v>50</v>
      </c>
      <c r="B15" s="3" t="s">
        <v>51</v>
      </c>
      <c r="C15" s="4"/>
      <c r="D15" s="4"/>
      <c r="E15" s="4"/>
      <c r="F15" s="3" t="s">
        <v>31</v>
      </c>
      <c r="G15" s="4"/>
      <c r="H15" s="8">
        <f t="shared" ref="H15:H16" si="4">IF(C15="X",1)+IF(D15="X",2)+IF(E15="X",3)+IF(F15="X",4)+IF(G15="X",5)</f>
        <v>4</v>
      </c>
      <c r="I15" s="4"/>
    </row>
    <row r="16">
      <c r="A16" s="9" t="s">
        <v>52</v>
      </c>
      <c r="B16" s="3" t="s">
        <v>53</v>
      </c>
      <c r="C16" s="4"/>
      <c r="D16" s="4"/>
      <c r="E16" s="4"/>
      <c r="F16" s="3" t="s">
        <v>31</v>
      </c>
      <c r="G16" s="4"/>
      <c r="H16" s="8">
        <f t="shared" si="4"/>
        <v>4</v>
      </c>
      <c r="I16" s="4"/>
    </row>
    <row r="17">
      <c r="A17" s="10"/>
      <c r="B17" s="6" t="s">
        <v>34</v>
      </c>
      <c r="C17" s="4"/>
      <c r="D17" s="4"/>
      <c r="E17" s="4"/>
      <c r="F17" s="4"/>
      <c r="G17" s="4"/>
      <c r="H17" s="8"/>
      <c r="I17" s="4"/>
    </row>
    <row r="18">
      <c r="A18" s="6" t="s">
        <v>54</v>
      </c>
      <c r="B18" s="3" t="s">
        <v>55</v>
      </c>
      <c r="C18" s="4"/>
      <c r="D18" s="4"/>
      <c r="E18" s="3" t="s">
        <v>31</v>
      </c>
      <c r="F18" s="4"/>
      <c r="G18" s="4"/>
      <c r="H18" s="8">
        <f t="shared" ref="H18:H19" si="5">IF(C18="X",1)+IF(D18="X",2)+IF(E18="X",3)+IF(F18="X",4)+IF(G18="X",5)</f>
        <v>3</v>
      </c>
      <c r="I18" s="4"/>
    </row>
    <row r="19">
      <c r="A19" s="9" t="s">
        <v>56</v>
      </c>
      <c r="B19" s="3" t="s">
        <v>57</v>
      </c>
      <c r="C19" s="4"/>
      <c r="D19" s="3" t="s">
        <v>31</v>
      </c>
      <c r="E19" s="4"/>
      <c r="F19" s="4"/>
      <c r="G19" s="4"/>
      <c r="H19" s="8">
        <f t="shared" si="5"/>
        <v>2</v>
      </c>
      <c r="I19" s="4"/>
    </row>
    <row r="20">
      <c r="A20" s="10"/>
      <c r="B20" s="6" t="s">
        <v>43</v>
      </c>
      <c r="C20" s="4"/>
      <c r="D20" s="4"/>
      <c r="E20" s="4"/>
      <c r="F20" s="4"/>
      <c r="G20" s="4"/>
      <c r="H20" s="8"/>
      <c r="I20" s="4"/>
    </row>
    <row r="21">
      <c r="A21" s="6" t="s">
        <v>58</v>
      </c>
      <c r="B21" s="3" t="s">
        <v>59</v>
      </c>
      <c r="C21" s="4"/>
      <c r="D21" s="4"/>
      <c r="E21" s="4"/>
      <c r="F21" s="3" t="s">
        <v>31</v>
      </c>
      <c r="G21" s="4"/>
      <c r="H21" s="8">
        <f t="shared" ref="H21:H22" si="6">IF(C21="X",1)+IF(D21="X",2)+IF(E21="X",3)+IF(F21="X",4)+IF(G21="X",5)</f>
        <v>4</v>
      </c>
      <c r="I21" s="4"/>
    </row>
    <row r="22">
      <c r="A22" s="9" t="s">
        <v>60</v>
      </c>
      <c r="B22" s="3" t="s">
        <v>61</v>
      </c>
      <c r="C22" s="4"/>
      <c r="D22" s="4"/>
      <c r="E22" s="4"/>
      <c r="F22" s="3" t="s">
        <v>31</v>
      </c>
      <c r="G22" s="4"/>
      <c r="H22" s="8">
        <f t="shared" si="6"/>
        <v>4</v>
      </c>
      <c r="I22" s="4"/>
    </row>
    <row r="23">
      <c r="A23" s="10"/>
      <c r="B23" s="6" t="s">
        <v>39</v>
      </c>
      <c r="C23" s="4"/>
      <c r="D23" s="4"/>
      <c r="E23" s="4"/>
      <c r="F23" s="4"/>
      <c r="G23" s="4"/>
      <c r="H23" s="8"/>
      <c r="I23" s="4"/>
    </row>
    <row r="24">
      <c r="A24" s="6" t="s">
        <v>62</v>
      </c>
      <c r="B24" s="3" t="s">
        <v>63</v>
      </c>
      <c r="C24" s="4"/>
      <c r="D24" s="4"/>
      <c r="E24" s="4"/>
      <c r="F24" s="4"/>
      <c r="G24" s="3" t="s">
        <v>31</v>
      </c>
      <c r="H24" s="8">
        <f>IF(C24="X",1)+IF(D24="X",2)+IF(E24="X",3)+IF(F24="X",4)+IF(G24="X",5)</f>
        <v>5</v>
      </c>
      <c r="I24" s="4"/>
    </row>
    <row r="25">
      <c r="A25" s="9" t="s">
        <v>42</v>
      </c>
      <c r="B25" s="6" t="s">
        <v>34</v>
      </c>
      <c r="C25" s="4"/>
      <c r="D25" s="4"/>
      <c r="E25" s="4"/>
      <c r="F25" s="4"/>
      <c r="G25" s="4"/>
      <c r="H25" s="8"/>
      <c r="I25" s="4"/>
    </row>
    <row r="26">
      <c r="A26" s="6" t="s">
        <v>64</v>
      </c>
      <c r="B26" s="3" t="s">
        <v>65</v>
      </c>
      <c r="C26" s="3" t="s">
        <v>31</v>
      </c>
      <c r="D26" s="4"/>
      <c r="E26" s="4"/>
      <c r="F26" s="4"/>
      <c r="G26" s="4"/>
      <c r="H26" s="8">
        <f t="shared" ref="H26:H27" si="7">IF(C26="X",1)+IF(D26="X",2)+IF(E26="X",3)+IF(F26="X",4)+IF(G26="X",5)</f>
        <v>1</v>
      </c>
      <c r="I26" s="4"/>
    </row>
    <row r="27">
      <c r="A27" s="9" t="s">
        <v>66</v>
      </c>
      <c r="B27" s="3" t="s">
        <v>67</v>
      </c>
      <c r="C27" s="3" t="s">
        <v>31</v>
      </c>
      <c r="D27" s="4"/>
      <c r="E27" s="4"/>
      <c r="F27" s="4"/>
      <c r="G27" s="4"/>
      <c r="H27" s="8">
        <f t="shared" si="7"/>
        <v>1</v>
      </c>
      <c r="I27" s="4"/>
    </row>
    <row r="28">
      <c r="A28" s="10"/>
      <c r="B28" s="6" t="s">
        <v>39</v>
      </c>
      <c r="C28" s="4"/>
      <c r="D28" s="4"/>
      <c r="E28" s="4"/>
      <c r="F28" s="4"/>
      <c r="G28" s="4"/>
      <c r="H28" s="8"/>
      <c r="I28" s="4"/>
    </row>
    <row r="29">
      <c r="A29" s="6" t="s">
        <v>68</v>
      </c>
      <c r="B29" s="3" t="s">
        <v>69</v>
      </c>
      <c r="C29" s="4"/>
      <c r="D29" s="3" t="s">
        <v>31</v>
      </c>
      <c r="E29" s="4"/>
      <c r="F29" s="4"/>
      <c r="G29" s="4"/>
      <c r="H29" s="8">
        <f>IF(C29="X",1)+IF(D29="X",2)+IF(E29="X",3)+IF(F29="X",4)+IF(G29="X",5)</f>
        <v>2</v>
      </c>
      <c r="I29" s="4"/>
    </row>
    <row r="30">
      <c r="A30" s="9" t="s">
        <v>42</v>
      </c>
      <c r="B30" s="6" t="s">
        <v>21</v>
      </c>
      <c r="C30" s="4"/>
      <c r="D30" s="4"/>
      <c r="E30" s="4"/>
      <c r="F30" s="4"/>
      <c r="G30" s="4"/>
      <c r="H30" s="8"/>
      <c r="I30" s="4"/>
    </row>
    <row r="31">
      <c r="A31" s="6" t="s">
        <v>70</v>
      </c>
      <c r="B31" s="5" t="s">
        <v>71</v>
      </c>
      <c r="C31" s="4"/>
      <c r="D31" s="4"/>
      <c r="E31" s="3" t="s">
        <v>31</v>
      </c>
      <c r="F31" s="4"/>
      <c r="G31" s="4"/>
      <c r="H31" s="8">
        <f t="shared" ref="H31:H32" si="8">IF(C31="X",1)+IF(D31="X",2)+IF(E31="X",3)+IF(F31="X",4)+IF(G31="X",5)</f>
        <v>3</v>
      </c>
      <c r="I31" s="4"/>
    </row>
    <row r="32">
      <c r="A32" s="9" t="s">
        <v>72</v>
      </c>
      <c r="B32" s="3" t="s">
        <v>73</v>
      </c>
      <c r="C32" s="4"/>
      <c r="D32" s="3" t="s">
        <v>31</v>
      </c>
      <c r="E32" s="4"/>
      <c r="F32" s="4"/>
      <c r="G32" s="4"/>
      <c r="H32" s="8">
        <f t="shared" si="8"/>
        <v>2</v>
      </c>
      <c r="I32" s="4"/>
    </row>
    <row r="33">
      <c r="A33" s="10"/>
      <c r="B33" s="6" t="s">
        <v>34</v>
      </c>
      <c r="C33" s="4"/>
      <c r="D33" s="4"/>
      <c r="E33" s="4"/>
      <c r="F33" s="4"/>
      <c r="G33" s="4"/>
      <c r="H33" s="8"/>
      <c r="I33" s="4"/>
    </row>
    <row r="34">
      <c r="A34" s="6" t="s">
        <v>74</v>
      </c>
      <c r="B34" s="3" t="s">
        <v>75</v>
      </c>
      <c r="C34" s="3" t="s">
        <v>31</v>
      </c>
      <c r="D34" s="4"/>
      <c r="E34" s="4"/>
      <c r="F34" s="4"/>
      <c r="G34" s="4"/>
      <c r="H34" s="8">
        <f t="shared" ref="H34:H35" si="9">IF(C34="X",1)+IF(D34="X",2)+IF(E34="X",3)+IF(F34="X",4)+IF(G34="X",5)</f>
        <v>1</v>
      </c>
      <c r="I34" s="4"/>
    </row>
    <row r="35">
      <c r="A35" s="9" t="s">
        <v>76</v>
      </c>
      <c r="B35" s="3" t="s">
        <v>77</v>
      </c>
      <c r="C35" s="3" t="s">
        <v>31</v>
      </c>
      <c r="D35" s="4"/>
      <c r="E35" s="4"/>
      <c r="F35" s="4"/>
      <c r="G35" s="4"/>
      <c r="H35" s="8">
        <f t="shared" si="9"/>
        <v>1</v>
      </c>
      <c r="I35" s="4"/>
    </row>
    <row r="36">
      <c r="A36" s="9" t="s">
        <v>42</v>
      </c>
      <c r="B36" s="6" t="s">
        <v>43</v>
      </c>
      <c r="C36" s="4"/>
      <c r="D36" s="4"/>
      <c r="E36" s="4"/>
      <c r="F36" s="4"/>
      <c r="G36" s="4"/>
      <c r="H36" s="8"/>
      <c r="I36" s="4"/>
    </row>
    <row r="37">
      <c r="A37" s="6" t="s">
        <v>78</v>
      </c>
      <c r="B37" s="3" t="s">
        <v>79</v>
      </c>
      <c r="C37" s="4"/>
      <c r="D37" s="4"/>
      <c r="E37" s="3" t="s">
        <v>31</v>
      </c>
      <c r="F37" s="4"/>
      <c r="G37" s="4"/>
      <c r="H37" s="8">
        <f t="shared" ref="H37:H38" si="10">IF(C37="X",1)+IF(D37="X",2)+IF(E37="X",3)+IF(F37="X",4)+IF(G37="X",5)</f>
        <v>3</v>
      </c>
      <c r="I37" s="4"/>
    </row>
    <row r="38">
      <c r="A38" s="9" t="s">
        <v>80</v>
      </c>
      <c r="B38" s="3" t="s">
        <v>81</v>
      </c>
      <c r="C38" s="4"/>
      <c r="D38" s="3" t="s">
        <v>31</v>
      </c>
      <c r="E38" s="4"/>
      <c r="F38" s="4"/>
      <c r="G38" s="4"/>
      <c r="H38" s="8">
        <f t="shared" si="10"/>
        <v>2</v>
      </c>
      <c r="I38" s="4"/>
    </row>
    <row r="39">
      <c r="A39" s="10"/>
      <c r="B39" s="6" t="s">
        <v>34</v>
      </c>
      <c r="C39" s="4"/>
      <c r="D39" s="4"/>
      <c r="E39" s="4"/>
      <c r="F39" s="4"/>
      <c r="G39" s="4"/>
      <c r="H39" s="8"/>
      <c r="I39" s="4"/>
    </row>
    <row r="40">
      <c r="A40" s="6" t="s">
        <v>82</v>
      </c>
      <c r="B40" s="3" t="s">
        <v>83</v>
      </c>
      <c r="C40" s="4"/>
      <c r="D40" s="4"/>
      <c r="E40" s="3" t="s">
        <v>31</v>
      </c>
      <c r="F40" s="4"/>
      <c r="G40" s="4"/>
      <c r="H40" s="8">
        <f t="shared" ref="H40:H41" si="11">IF(C40="X",1)+IF(D40="X",2)+IF(E40="X",3)+IF(F40="X",4)+IF(G40="X",5)</f>
        <v>3</v>
      </c>
      <c r="I40" s="4"/>
    </row>
    <row r="41">
      <c r="A41" s="9" t="s">
        <v>84</v>
      </c>
      <c r="B41" s="3" t="s">
        <v>85</v>
      </c>
      <c r="C41" s="4"/>
      <c r="D41" s="3" t="s">
        <v>31</v>
      </c>
      <c r="E41" s="4"/>
      <c r="F41" s="4"/>
      <c r="G41" s="4"/>
      <c r="H41" s="8">
        <f t="shared" si="11"/>
        <v>2</v>
      </c>
      <c r="I41" s="4"/>
    </row>
    <row r="42">
      <c r="A42" s="10"/>
      <c r="B42" s="6" t="s">
        <v>39</v>
      </c>
      <c r="C42" s="4"/>
      <c r="D42" s="4"/>
      <c r="E42" s="4"/>
      <c r="F42" s="4"/>
      <c r="G42" s="4"/>
      <c r="H42" s="8"/>
      <c r="I42" s="4"/>
    </row>
    <row r="43">
      <c r="A43" s="6" t="s">
        <v>86</v>
      </c>
      <c r="B43" s="3" t="s">
        <v>87</v>
      </c>
      <c r="C43" s="4"/>
      <c r="D43" s="4"/>
      <c r="E43" s="4"/>
      <c r="F43" s="3" t="s">
        <v>31</v>
      </c>
      <c r="G43" s="4"/>
      <c r="H43" s="8">
        <f>IF(C43="X",1)+IF(D43="X",2)+IF(E43="X",3)+IF(F43="X",4)+IF(G43="X",5)</f>
        <v>4</v>
      </c>
      <c r="I43" s="4"/>
    </row>
    <row r="44">
      <c r="A44" s="9" t="s">
        <v>42</v>
      </c>
      <c r="B44" s="6" t="s">
        <v>21</v>
      </c>
      <c r="C44" s="4"/>
      <c r="D44" s="4"/>
      <c r="E44" s="4"/>
      <c r="F44" s="4"/>
      <c r="G44" s="4"/>
      <c r="H44" s="8"/>
      <c r="I44" s="4"/>
    </row>
    <row r="45">
      <c r="A45" s="6" t="s">
        <v>88</v>
      </c>
      <c r="B45" s="5" t="s">
        <v>89</v>
      </c>
      <c r="C45" s="4"/>
      <c r="D45" s="4"/>
      <c r="E45" s="4"/>
      <c r="F45" s="4"/>
      <c r="G45" s="3" t="s">
        <v>31</v>
      </c>
      <c r="H45" s="8">
        <f t="shared" ref="H45:H46" si="12">IF(C45="X",1)+IF(D45="X",2)+IF(E45="X",3)+IF(F45="X",4)+IF(G45="X",5)</f>
        <v>5</v>
      </c>
      <c r="I45" s="4"/>
    </row>
    <row r="46">
      <c r="A46" s="9" t="s">
        <v>90</v>
      </c>
      <c r="B46" s="3" t="s">
        <v>91</v>
      </c>
      <c r="C46" s="4"/>
      <c r="D46" s="4"/>
      <c r="E46" s="3" t="s">
        <v>31</v>
      </c>
      <c r="F46" s="4"/>
      <c r="G46" s="4"/>
      <c r="H46" s="8">
        <f t="shared" si="12"/>
        <v>3</v>
      </c>
      <c r="I46" s="4"/>
    </row>
    <row r="47">
      <c r="A47" s="10"/>
      <c r="B47" s="6" t="s">
        <v>43</v>
      </c>
      <c r="C47" s="4"/>
      <c r="D47" s="4"/>
      <c r="E47" s="4"/>
      <c r="F47" s="4"/>
      <c r="G47" s="4"/>
      <c r="H47" s="8"/>
      <c r="I47" s="4"/>
    </row>
    <row r="48">
      <c r="A48" s="6" t="s">
        <v>92</v>
      </c>
      <c r="B48" s="3" t="s">
        <v>93</v>
      </c>
      <c r="C48" s="4"/>
      <c r="D48" s="4"/>
      <c r="E48" s="3" t="s">
        <v>31</v>
      </c>
      <c r="F48" s="4"/>
      <c r="G48" s="4"/>
      <c r="H48" s="8">
        <f t="shared" ref="H48:H49" si="13">IF(C48="X",1)+IF(D48="X",2)+IF(E48="X",3)+IF(F48="X",4)+IF(G48="X",5)</f>
        <v>3</v>
      </c>
      <c r="I48" s="4"/>
    </row>
    <row r="49">
      <c r="A49" s="9" t="s">
        <v>94</v>
      </c>
      <c r="B49" s="3" t="s">
        <v>95</v>
      </c>
      <c r="C49" s="4"/>
      <c r="D49" s="4"/>
      <c r="E49" s="4"/>
      <c r="F49" s="3" t="s">
        <v>31</v>
      </c>
      <c r="G49" s="4"/>
      <c r="H49" s="8">
        <f t="shared" si="13"/>
        <v>4</v>
      </c>
      <c r="I49" s="4"/>
    </row>
    <row r="50">
      <c r="A50" s="10"/>
      <c r="B50" s="6" t="s">
        <v>39</v>
      </c>
      <c r="C50" s="4"/>
      <c r="D50" s="4"/>
      <c r="E50" s="4"/>
      <c r="F50" s="4"/>
      <c r="G50" s="4"/>
      <c r="H50" s="8"/>
      <c r="I50" s="4"/>
    </row>
    <row r="51">
      <c r="A51" s="6" t="s">
        <v>96</v>
      </c>
      <c r="B51" s="3" t="s">
        <v>97</v>
      </c>
      <c r="C51" s="4"/>
      <c r="D51" s="4"/>
      <c r="E51" s="4"/>
      <c r="F51" s="4"/>
      <c r="G51" s="3" t="s">
        <v>31</v>
      </c>
      <c r="H51" s="8">
        <f>IF(C51="X",1)+IF(D51="X",2)+IF(E51="X",3)+IF(F51="X",4)+IF(G51="X",5)</f>
        <v>5</v>
      </c>
      <c r="I51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86.63"/>
    <col customWidth="1" min="9" max="9" width="38.88"/>
  </cols>
  <sheetData>
    <row r="1">
      <c r="A1" s="4"/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7" t="s">
        <v>27</v>
      </c>
      <c r="I1" s="7" t="s">
        <v>28</v>
      </c>
    </row>
    <row r="2">
      <c r="A2" s="6" t="s">
        <v>29</v>
      </c>
      <c r="B2" s="3" t="s">
        <v>30</v>
      </c>
      <c r="C2" s="4"/>
      <c r="D2" s="3" t="s">
        <v>31</v>
      </c>
      <c r="E2" s="4"/>
      <c r="F2" s="4"/>
      <c r="G2" s="4"/>
      <c r="H2" s="8">
        <f t="shared" ref="H2:H3" si="1">IF(C2="X",1)+IF(D2="X",2)+IF(E2="X",3)+IF(F2="X",4)+IF(G2="X",5)</f>
        <v>2</v>
      </c>
      <c r="I2" s="4"/>
    </row>
    <row r="3">
      <c r="A3" s="9" t="s">
        <v>32</v>
      </c>
      <c r="B3" s="3" t="s">
        <v>33</v>
      </c>
      <c r="C3" s="3" t="s">
        <v>31</v>
      </c>
      <c r="D3" s="4"/>
      <c r="E3" s="4"/>
      <c r="F3" s="4"/>
      <c r="G3" s="4"/>
      <c r="H3" s="8">
        <f t="shared" si="1"/>
        <v>1</v>
      </c>
      <c r="I3" s="4"/>
    </row>
    <row r="4">
      <c r="A4" s="10"/>
      <c r="B4" s="6" t="s">
        <v>34</v>
      </c>
      <c r="C4" s="4"/>
      <c r="D4" s="4"/>
      <c r="E4" s="4"/>
      <c r="F4" s="4"/>
      <c r="G4" s="4"/>
      <c r="H4" s="8"/>
      <c r="I4" s="4"/>
    </row>
    <row r="5">
      <c r="A5" s="6" t="s">
        <v>35</v>
      </c>
      <c r="B5" s="3" t="s">
        <v>36</v>
      </c>
      <c r="C5" s="4"/>
      <c r="D5" s="3" t="s">
        <v>31</v>
      </c>
      <c r="E5" s="4"/>
      <c r="F5" s="4"/>
      <c r="G5" s="4"/>
      <c r="H5" s="8">
        <f t="shared" ref="H5:H6" si="2">IF(C5="X",1)+IF(D5="X",2)+IF(E5="X",3)+IF(F5="X",4)+IF(G5="X",5)</f>
        <v>2</v>
      </c>
      <c r="I5" s="4"/>
    </row>
    <row r="6">
      <c r="A6" s="9" t="s">
        <v>37</v>
      </c>
      <c r="B6" s="3" t="s">
        <v>38</v>
      </c>
      <c r="C6" s="4"/>
      <c r="D6" s="4"/>
      <c r="E6" s="3" t="s">
        <v>31</v>
      </c>
      <c r="F6" s="4"/>
      <c r="G6" s="4"/>
      <c r="H6" s="8">
        <f t="shared" si="2"/>
        <v>3</v>
      </c>
      <c r="I6" s="4"/>
    </row>
    <row r="7">
      <c r="A7" s="10"/>
      <c r="B7" s="6" t="s">
        <v>39</v>
      </c>
      <c r="C7" s="4"/>
      <c r="D7" s="4"/>
      <c r="E7" s="4"/>
      <c r="F7" s="4"/>
      <c r="G7" s="4"/>
      <c r="H7" s="8"/>
      <c r="I7" s="4"/>
    </row>
    <row r="8">
      <c r="A8" s="6" t="s">
        <v>40</v>
      </c>
      <c r="B8" s="3" t="s">
        <v>41</v>
      </c>
      <c r="C8" s="4"/>
      <c r="D8" s="4"/>
      <c r="E8" s="4"/>
      <c r="F8" s="3" t="s">
        <v>31</v>
      </c>
      <c r="G8" s="4"/>
      <c r="H8" s="8">
        <f>IF(C8="X",1)+IF(D8="X",2)+IF(E8="X",3)+IF(F8="X",4)+IF(G8="X",5)</f>
        <v>4</v>
      </c>
      <c r="I8" s="4"/>
    </row>
    <row r="9">
      <c r="A9" s="9" t="s">
        <v>42</v>
      </c>
      <c r="B9" s="6" t="s">
        <v>43</v>
      </c>
      <c r="C9" s="4"/>
      <c r="D9" s="4"/>
      <c r="E9" s="4"/>
      <c r="F9" s="4"/>
      <c r="G9" s="4"/>
      <c r="H9" s="8"/>
      <c r="I9" s="4"/>
    </row>
    <row r="10">
      <c r="A10" s="6" t="s">
        <v>44</v>
      </c>
      <c r="B10" s="3" t="s">
        <v>45</v>
      </c>
      <c r="C10" s="4"/>
      <c r="D10" s="4"/>
      <c r="E10" s="3" t="s">
        <v>31</v>
      </c>
      <c r="F10" s="4"/>
      <c r="G10" s="4"/>
      <c r="H10" s="8">
        <f t="shared" ref="H10:H11" si="3">IF(C10="X",1)+IF(D10="X",2)+IF(E10="X",3)+IF(F10="X",4)+IF(G10="X",5)</f>
        <v>3</v>
      </c>
      <c r="I10" s="4"/>
    </row>
    <row r="11">
      <c r="A11" s="9" t="s">
        <v>46</v>
      </c>
      <c r="B11" s="3" t="s">
        <v>47</v>
      </c>
      <c r="C11" s="4"/>
      <c r="D11" s="4"/>
      <c r="E11" s="3" t="s">
        <v>31</v>
      </c>
      <c r="F11" s="4"/>
      <c r="G11" s="4"/>
      <c r="H11" s="8">
        <f t="shared" si="3"/>
        <v>3</v>
      </c>
      <c r="I11" s="4"/>
    </row>
    <row r="12">
      <c r="A12" s="10"/>
      <c r="B12" s="6" t="s">
        <v>39</v>
      </c>
      <c r="C12" s="4"/>
      <c r="D12" s="4"/>
      <c r="E12" s="4"/>
      <c r="F12" s="4"/>
      <c r="G12" s="4"/>
      <c r="H12" s="8"/>
      <c r="I12" s="4"/>
    </row>
    <row r="13">
      <c r="A13" s="6" t="s">
        <v>48</v>
      </c>
      <c r="B13" s="3" t="s">
        <v>49</v>
      </c>
      <c r="C13" s="3" t="s">
        <v>31</v>
      </c>
      <c r="D13" s="4"/>
      <c r="E13" s="4"/>
      <c r="F13" s="4"/>
      <c r="G13" s="4"/>
      <c r="H13" s="8">
        <f>IF(C13="X",1)+IF(D13="X",2)+IF(E13="X",3)+IF(F13="X",4)+IF(G13="X",5)</f>
        <v>1</v>
      </c>
      <c r="I13" s="4"/>
    </row>
    <row r="14">
      <c r="A14" s="9" t="s">
        <v>42</v>
      </c>
      <c r="B14" s="6" t="s">
        <v>21</v>
      </c>
      <c r="C14" s="4"/>
      <c r="D14" s="4"/>
      <c r="E14" s="4"/>
      <c r="F14" s="4"/>
      <c r="G14" s="4"/>
      <c r="H14" s="8"/>
      <c r="I14" s="4"/>
    </row>
    <row r="15">
      <c r="A15" s="6" t="s">
        <v>50</v>
      </c>
      <c r="B15" s="3" t="s">
        <v>51</v>
      </c>
      <c r="C15" s="4"/>
      <c r="D15" s="4"/>
      <c r="E15" s="3" t="s">
        <v>31</v>
      </c>
      <c r="F15" s="4"/>
      <c r="G15" s="4"/>
      <c r="H15" s="8">
        <f t="shared" ref="H15:H16" si="4">IF(C15="X",1)+IF(D15="X",2)+IF(E15="X",3)+IF(F15="X",4)+IF(G15="X",5)</f>
        <v>3</v>
      </c>
      <c r="I15" s="4"/>
    </row>
    <row r="16">
      <c r="A16" s="9" t="s">
        <v>52</v>
      </c>
      <c r="B16" s="3" t="s">
        <v>53</v>
      </c>
      <c r="C16" s="3" t="s">
        <v>31</v>
      </c>
      <c r="D16" s="4"/>
      <c r="E16" s="4"/>
      <c r="F16" s="4"/>
      <c r="G16" s="4"/>
      <c r="H16" s="8">
        <f t="shared" si="4"/>
        <v>1</v>
      </c>
      <c r="I16" s="4"/>
    </row>
    <row r="17">
      <c r="A17" s="10"/>
      <c r="B17" s="6" t="s">
        <v>34</v>
      </c>
      <c r="C17" s="4"/>
      <c r="D17" s="4"/>
      <c r="E17" s="4"/>
      <c r="F17" s="4"/>
      <c r="G17" s="4"/>
      <c r="H17" s="8"/>
      <c r="I17" s="4"/>
    </row>
    <row r="18">
      <c r="A18" s="6" t="s">
        <v>54</v>
      </c>
      <c r="B18" s="3" t="s">
        <v>55</v>
      </c>
      <c r="C18" s="3" t="s">
        <v>31</v>
      </c>
      <c r="D18" s="4"/>
      <c r="E18" s="4"/>
      <c r="F18" s="4"/>
      <c r="G18" s="4"/>
      <c r="H18" s="8">
        <f t="shared" ref="H18:H19" si="5">IF(C18="X",1)+IF(D18="X",2)+IF(E18="X",3)+IF(F18="X",4)+IF(G18="X",5)</f>
        <v>1</v>
      </c>
      <c r="I18" s="4"/>
    </row>
    <row r="19">
      <c r="A19" s="9" t="s">
        <v>56</v>
      </c>
      <c r="B19" s="3" t="s">
        <v>57</v>
      </c>
      <c r="C19" s="3" t="s">
        <v>31</v>
      </c>
      <c r="D19" s="4"/>
      <c r="E19" s="4"/>
      <c r="F19" s="4"/>
      <c r="G19" s="4"/>
      <c r="H19" s="8">
        <f t="shared" si="5"/>
        <v>1</v>
      </c>
      <c r="I19" s="4"/>
    </row>
    <row r="20">
      <c r="A20" s="10"/>
      <c r="B20" s="6" t="s">
        <v>43</v>
      </c>
      <c r="C20" s="4"/>
      <c r="D20" s="4"/>
      <c r="E20" s="4"/>
      <c r="F20" s="4"/>
      <c r="G20" s="4"/>
      <c r="H20" s="8"/>
      <c r="I20" s="4"/>
    </row>
    <row r="21">
      <c r="A21" s="6" t="s">
        <v>58</v>
      </c>
      <c r="B21" s="3" t="s">
        <v>59</v>
      </c>
      <c r="C21" s="4"/>
      <c r="D21" s="4"/>
      <c r="E21" s="4"/>
      <c r="F21" s="3" t="s">
        <v>31</v>
      </c>
      <c r="G21" s="4"/>
      <c r="H21" s="8">
        <f t="shared" ref="H21:H22" si="6">IF(C21="X",1)+IF(D21="X",2)+IF(E21="X",3)+IF(F21="X",4)+IF(G21="X",5)</f>
        <v>4</v>
      </c>
      <c r="I21" s="4"/>
    </row>
    <row r="22">
      <c r="A22" s="9" t="s">
        <v>60</v>
      </c>
      <c r="B22" s="3" t="s">
        <v>61</v>
      </c>
      <c r="C22" s="4"/>
      <c r="D22" s="3" t="s">
        <v>31</v>
      </c>
      <c r="E22" s="4"/>
      <c r="F22" s="4"/>
      <c r="G22" s="4"/>
      <c r="H22" s="8">
        <f t="shared" si="6"/>
        <v>2</v>
      </c>
      <c r="I22" s="4"/>
    </row>
    <row r="23">
      <c r="A23" s="10"/>
      <c r="B23" s="6" t="s">
        <v>39</v>
      </c>
      <c r="C23" s="4"/>
      <c r="D23" s="4"/>
      <c r="E23" s="4"/>
      <c r="F23" s="4"/>
      <c r="G23" s="4"/>
      <c r="H23" s="8"/>
      <c r="I23" s="4"/>
    </row>
    <row r="24">
      <c r="A24" s="6" t="s">
        <v>62</v>
      </c>
      <c r="B24" s="3" t="s">
        <v>63</v>
      </c>
      <c r="C24" s="4"/>
      <c r="D24" s="4"/>
      <c r="E24" s="4"/>
      <c r="F24" s="4"/>
      <c r="G24" s="3" t="s">
        <v>31</v>
      </c>
      <c r="H24" s="8">
        <f>IF(C24="X",1)+IF(D24="X",2)+IF(E24="X",3)+IF(F24="X",4)+IF(G24="X",5)</f>
        <v>5</v>
      </c>
      <c r="I24" s="4"/>
    </row>
    <row r="25">
      <c r="A25" s="9" t="s">
        <v>42</v>
      </c>
      <c r="B25" s="6" t="s">
        <v>34</v>
      </c>
      <c r="C25" s="4"/>
      <c r="D25" s="4"/>
      <c r="E25" s="4"/>
      <c r="F25" s="4"/>
      <c r="G25" s="4"/>
      <c r="H25" s="8"/>
      <c r="I25" s="4"/>
    </row>
    <row r="26">
      <c r="A26" s="6" t="s">
        <v>64</v>
      </c>
      <c r="B26" s="3" t="s">
        <v>65</v>
      </c>
      <c r="C26" s="4"/>
      <c r="D26" s="3" t="s">
        <v>31</v>
      </c>
      <c r="E26" s="4"/>
      <c r="F26" s="4"/>
      <c r="G26" s="4"/>
      <c r="H26" s="8">
        <f t="shared" ref="H26:H27" si="7">IF(C26="X",1)+IF(D26="X",2)+IF(E26="X",3)+IF(F26="X",4)+IF(G26="X",5)</f>
        <v>2</v>
      </c>
      <c r="I26" s="4"/>
    </row>
    <row r="27">
      <c r="A27" s="9" t="s">
        <v>66</v>
      </c>
      <c r="B27" s="3" t="s">
        <v>67</v>
      </c>
      <c r="C27" s="4"/>
      <c r="D27" s="4"/>
      <c r="E27" s="3" t="s">
        <v>31</v>
      </c>
      <c r="F27" s="4"/>
      <c r="G27" s="4"/>
      <c r="H27" s="8">
        <f t="shared" si="7"/>
        <v>3</v>
      </c>
      <c r="I27" s="4"/>
    </row>
    <row r="28">
      <c r="A28" s="10"/>
      <c r="B28" s="6" t="s">
        <v>39</v>
      </c>
      <c r="C28" s="4"/>
      <c r="D28" s="4"/>
      <c r="E28" s="4"/>
      <c r="F28" s="4"/>
      <c r="G28" s="4"/>
      <c r="H28" s="8"/>
      <c r="I28" s="4"/>
    </row>
    <row r="29">
      <c r="A29" s="6" t="s">
        <v>68</v>
      </c>
      <c r="B29" s="3" t="s">
        <v>69</v>
      </c>
      <c r="C29" s="4"/>
      <c r="D29" s="4"/>
      <c r="E29" s="3" t="s">
        <v>31</v>
      </c>
      <c r="F29" s="4"/>
      <c r="G29" s="4"/>
      <c r="H29" s="8">
        <f>IF(C29="X",1)+IF(D29="X",2)+IF(E29="X",3)+IF(F29="X",4)+IF(G29="X",5)</f>
        <v>3</v>
      </c>
      <c r="I29" s="4"/>
    </row>
    <row r="30">
      <c r="A30" s="9" t="s">
        <v>42</v>
      </c>
      <c r="B30" s="6" t="s">
        <v>21</v>
      </c>
      <c r="C30" s="4"/>
      <c r="D30" s="4"/>
      <c r="E30" s="4"/>
      <c r="F30" s="4"/>
      <c r="G30" s="4"/>
      <c r="H30" s="8"/>
      <c r="I30" s="4"/>
    </row>
    <row r="31">
      <c r="A31" s="6" t="s">
        <v>70</v>
      </c>
      <c r="B31" s="5" t="s">
        <v>71</v>
      </c>
      <c r="C31" s="4"/>
      <c r="D31" s="4"/>
      <c r="E31" s="4"/>
      <c r="F31" s="3" t="s">
        <v>31</v>
      </c>
      <c r="G31" s="4"/>
      <c r="H31" s="8">
        <f t="shared" ref="H31:H32" si="8">IF(C31="X",1)+IF(D31="X",2)+IF(E31="X",3)+IF(F31="X",4)+IF(G31="X",5)</f>
        <v>4</v>
      </c>
      <c r="I31" s="4"/>
    </row>
    <row r="32">
      <c r="A32" s="9" t="s">
        <v>72</v>
      </c>
      <c r="B32" s="3" t="s">
        <v>73</v>
      </c>
      <c r="C32" s="4"/>
      <c r="D32" s="3" t="s">
        <v>31</v>
      </c>
      <c r="E32" s="4"/>
      <c r="F32" s="4"/>
      <c r="G32" s="4"/>
      <c r="H32" s="8">
        <f t="shared" si="8"/>
        <v>2</v>
      </c>
      <c r="I32" s="4"/>
    </row>
    <row r="33">
      <c r="A33" s="10"/>
      <c r="B33" s="6" t="s">
        <v>34</v>
      </c>
      <c r="C33" s="4"/>
      <c r="D33" s="4"/>
      <c r="E33" s="4"/>
      <c r="F33" s="4"/>
      <c r="G33" s="4"/>
      <c r="H33" s="8"/>
      <c r="I33" s="4"/>
    </row>
    <row r="34">
      <c r="A34" s="6" t="s">
        <v>74</v>
      </c>
      <c r="B34" s="3" t="s">
        <v>75</v>
      </c>
      <c r="C34" s="3" t="s">
        <v>31</v>
      </c>
      <c r="D34" s="4"/>
      <c r="E34" s="4"/>
      <c r="F34" s="4"/>
      <c r="G34" s="4"/>
      <c r="H34" s="8">
        <f t="shared" ref="H34:H35" si="9">IF(C34="X",1)+IF(D34="X",2)+IF(E34="X",3)+IF(F34="X",4)+IF(G34="X",5)</f>
        <v>1</v>
      </c>
      <c r="I34" s="4"/>
    </row>
    <row r="35">
      <c r="A35" s="9" t="s">
        <v>76</v>
      </c>
      <c r="B35" s="3" t="s">
        <v>77</v>
      </c>
      <c r="C35" s="3" t="s">
        <v>31</v>
      </c>
      <c r="D35" s="4"/>
      <c r="E35" s="4"/>
      <c r="F35" s="4"/>
      <c r="G35" s="4"/>
      <c r="H35" s="8">
        <f t="shared" si="9"/>
        <v>1</v>
      </c>
      <c r="I35" s="4"/>
    </row>
    <row r="36">
      <c r="A36" s="9" t="s">
        <v>42</v>
      </c>
      <c r="B36" s="6" t="s">
        <v>43</v>
      </c>
      <c r="C36" s="4"/>
      <c r="D36" s="4"/>
      <c r="E36" s="4"/>
      <c r="F36" s="4"/>
      <c r="G36" s="4"/>
      <c r="H36" s="8"/>
      <c r="I36" s="4"/>
    </row>
    <row r="37">
      <c r="A37" s="6" t="s">
        <v>78</v>
      </c>
      <c r="B37" s="3" t="s">
        <v>79</v>
      </c>
      <c r="C37" s="3" t="s">
        <v>31</v>
      </c>
      <c r="D37" s="4"/>
      <c r="E37" s="4"/>
      <c r="F37" s="4"/>
      <c r="G37" s="4"/>
      <c r="H37" s="8">
        <f t="shared" ref="H37:H38" si="10">IF(C37="X",1)+IF(D37="X",2)+IF(E37="X",3)+IF(F37="X",4)+IF(G37="X",5)</f>
        <v>1</v>
      </c>
      <c r="I37" s="4"/>
    </row>
    <row r="38">
      <c r="A38" s="9" t="s">
        <v>80</v>
      </c>
      <c r="B38" s="3" t="s">
        <v>81</v>
      </c>
      <c r="C38" s="3" t="s">
        <v>31</v>
      </c>
      <c r="D38" s="4"/>
      <c r="E38" s="4"/>
      <c r="F38" s="4"/>
      <c r="G38" s="4"/>
      <c r="H38" s="8">
        <f t="shared" si="10"/>
        <v>1</v>
      </c>
      <c r="I38" s="4"/>
    </row>
    <row r="39">
      <c r="A39" s="10"/>
      <c r="B39" s="6" t="s">
        <v>34</v>
      </c>
      <c r="C39" s="4"/>
      <c r="D39" s="4"/>
      <c r="E39" s="4"/>
      <c r="F39" s="4"/>
      <c r="G39" s="4"/>
      <c r="H39" s="8"/>
      <c r="I39" s="4"/>
    </row>
    <row r="40">
      <c r="A40" s="6" t="s">
        <v>82</v>
      </c>
      <c r="B40" s="3" t="s">
        <v>83</v>
      </c>
      <c r="C40" s="4"/>
      <c r="D40" s="4"/>
      <c r="E40" s="4"/>
      <c r="F40" s="4"/>
      <c r="G40" s="3" t="s">
        <v>31</v>
      </c>
      <c r="H40" s="8">
        <f t="shared" ref="H40:H41" si="11">IF(C40="X",1)+IF(D40="X",2)+IF(E40="X",3)+IF(F40="X",4)+IF(G40="X",5)</f>
        <v>5</v>
      </c>
      <c r="I40" s="4"/>
    </row>
    <row r="41">
      <c r="A41" s="9" t="s">
        <v>84</v>
      </c>
      <c r="B41" s="3" t="s">
        <v>85</v>
      </c>
      <c r="C41" s="4"/>
      <c r="D41" s="4"/>
      <c r="E41" s="4"/>
      <c r="F41" s="3" t="s">
        <v>31</v>
      </c>
      <c r="G41" s="4"/>
      <c r="H41" s="8">
        <f t="shared" si="11"/>
        <v>4</v>
      </c>
      <c r="I41" s="4"/>
    </row>
    <row r="42">
      <c r="A42" s="10"/>
      <c r="B42" s="6" t="s">
        <v>39</v>
      </c>
      <c r="C42" s="4"/>
      <c r="D42" s="4"/>
      <c r="E42" s="4"/>
      <c r="F42" s="4"/>
      <c r="G42" s="4"/>
      <c r="H42" s="8"/>
      <c r="I42" s="4"/>
    </row>
    <row r="43">
      <c r="A43" s="6" t="s">
        <v>86</v>
      </c>
      <c r="B43" s="3" t="s">
        <v>87</v>
      </c>
      <c r="C43" s="4"/>
      <c r="D43" s="4"/>
      <c r="E43" s="4"/>
      <c r="F43" s="4"/>
      <c r="G43" s="3" t="s">
        <v>31</v>
      </c>
      <c r="H43" s="8">
        <f>IF(C43="X",1)+IF(D43="X",2)+IF(E43="X",3)+IF(F43="X",4)+IF(G43="X",5)</f>
        <v>5</v>
      </c>
      <c r="I43" s="4"/>
    </row>
    <row r="44">
      <c r="A44" s="9" t="s">
        <v>42</v>
      </c>
      <c r="B44" s="6" t="s">
        <v>21</v>
      </c>
      <c r="C44" s="4"/>
      <c r="D44" s="4"/>
      <c r="E44" s="4"/>
      <c r="F44" s="4"/>
      <c r="G44" s="4"/>
      <c r="H44" s="8"/>
      <c r="I44" s="4"/>
    </row>
    <row r="45">
      <c r="A45" s="6" t="s">
        <v>88</v>
      </c>
      <c r="B45" s="5" t="s">
        <v>89</v>
      </c>
      <c r="C45" s="4"/>
      <c r="D45" s="4"/>
      <c r="E45" s="4"/>
      <c r="F45" s="4"/>
      <c r="G45" s="3" t="s">
        <v>31</v>
      </c>
      <c r="H45" s="8">
        <f t="shared" ref="H45:H46" si="12">IF(C45="X",1)+IF(D45="X",2)+IF(E45="X",3)+IF(F45="X",4)+IF(G45="X",5)</f>
        <v>5</v>
      </c>
      <c r="I45" s="4"/>
    </row>
    <row r="46">
      <c r="A46" s="9" t="s">
        <v>90</v>
      </c>
      <c r="B46" s="3" t="s">
        <v>91</v>
      </c>
      <c r="C46" s="4"/>
      <c r="D46" s="4"/>
      <c r="E46" s="4"/>
      <c r="F46" s="3" t="s">
        <v>31</v>
      </c>
      <c r="G46" s="4"/>
      <c r="H46" s="8">
        <f t="shared" si="12"/>
        <v>4</v>
      </c>
      <c r="I46" s="4"/>
    </row>
    <row r="47">
      <c r="A47" s="10"/>
      <c r="B47" s="6" t="s">
        <v>43</v>
      </c>
      <c r="C47" s="4"/>
      <c r="D47" s="4"/>
      <c r="E47" s="4"/>
      <c r="F47" s="4"/>
      <c r="G47" s="4"/>
      <c r="H47" s="8"/>
      <c r="I47" s="4"/>
    </row>
    <row r="48">
      <c r="A48" s="6" t="s">
        <v>92</v>
      </c>
      <c r="B48" s="3" t="s">
        <v>93</v>
      </c>
      <c r="C48" s="4"/>
      <c r="D48" s="4"/>
      <c r="E48" s="4"/>
      <c r="F48" s="4"/>
      <c r="G48" s="3" t="s">
        <v>31</v>
      </c>
      <c r="H48" s="8">
        <f t="shared" ref="H48:H49" si="13">IF(C48="X",1)+IF(D48="X",2)+IF(E48="X",3)+IF(F48="X",4)+IF(G48="X",5)</f>
        <v>5</v>
      </c>
      <c r="I48" s="4"/>
    </row>
    <row r="49">
      <c r="A49" s="9" t="s">
        <v>94</v>
      </c>
      <c r="B49" s="3" t="s">
        <v>95</v>
      </c>
      <c r="C49" s="4"/>
      <c r="D49" s="4"/>
      <c r="E49" s="3" t="s">
        <v>31</v>
      </c>
      <c r="F49" s="4"/>
      <c r="G49" s="4"/>
      <c r="H49" s="8">
        <f t="shared" si="13"/>
        <v>3</v>
      </c>
      <c r="I49" s="4"/>
    </row>
    <row r="50">
      <c r="A50" s="10"/>
      <c r="B50" s="6" t="s">
        <v>39</v>
      </c>
      <c r="C50" s="4"/>
      <c r="D50" s="4"/>
      <c r="E50" s="4"/>
      <c r="F50" s="4"/>
      <c r="G50" s="4"/>
      <c r="H50" s="8"/>
      <c r="I50" s="4"/>
    </row>
    <row r="51">
      <c r="A51" s="6" t="s">
        <v>96</v>
      </c>
      <c r="B51" s="3" t="s">
        <v>97</v>
      </c>
      <c r="C51" s="4"/>
      <c r="D51" s="4"/>
      <c r="E51" s="4"/>
      <c r="F51" s="4"/>
      <c r="G51" s="3" t="s">
        <v>31</v>
      </c>
      <c r="H51" s="8">
        <f>IF(C51="X",1)+IF(D51="X",2)+IF(E51="X",3)+IF(F51="X",4)+IF(G51="X",5)</f>
        <v>5</v>
      </c>
      <c r="I51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86.63"/>
  </cols>
  <sheetData>
    <row r="1">
      <c r="A1" s="4"/>
      <c r="B1" s="11"/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7" t="s">
        <v>27</v>
      </c>
    </row>
    <row r="2">
      <c r="A2" s="6" t="s">
        <v>29</v>
      </c>
      <c r="B2" s="5" t="s">
        <v>30</v>
      </c>
      <c r="C2" s="4"/>
      <c r="D2" s="4"/>
      <c r="E2" s="4"/>
      <c r="F2" s="4"/>
      <c r="G2" s="4"/>
      <c r="H2" s="12">
        <f>AVERAGE(Quest.Utente1!H2,Quest.Utente2!H2,Quest.Utente3!H2,Quest.Utente4!H2)</f>
        <v>2.5</v>
      </c>
    </row>
    <row r="3">
      <c r="A3" s="9" t="s">
        <v>32</v>
      </c>
      <c r="B3" s="3" t="s">
        <v>33</v>
      </c>
      <c r="C3" s="4"/>
      <c r="D3" s="4"/>
      <c r="E3" s="4"/>
      <c r="F3" s="4"/>
      <c r="G3" s="4"/>
      <c r="H3" s="12">
        <f>AVERAGE(Quest.Utente1!H3,Quest.Utente2!H3,Quest.Utente3!H3,Quest.Utente4!H3)</f>
        <v>2.25</v>
      </c>
    </row>
    <row r="4">
      <c r="A4" s="10"/>
      <c r="B4" s="4"/>
      <c r="C4" s="4"/>
      <c r="D4" s="4"/>
      <c r="E4" s="4"/>
      <c r="F4" s="4"/>
      <c r="G4" s="4"/>
      <c r="H4" s="13">
        <f>AVERAGE(H2:H3)</f>
        <v>2.375</v>
      </c>
    </row>
    <row r="5">
      <c r="A5" s="6" t="s">
        <v>35</v>
      </c>
      <c r="B5" s="3" t="s">
        <v>36</v>
      </c>
      <c r="C5" s="4"/>
      <c r="D5" s="4"/>
      <c r="E5" s="4"/>
      <c r="F5" s="4"/>
      <c r="G5" s="4"/>
      <c r="H5" s="12">
        <f>AVERAGE(Quest.Utente1!H5,Quest.Utente2!H5,Quest.Utente3!H5,Quest.Utente4!H5)</f>
        <v>2.5</v>
      </c>
    </row>
    <row r="6">
      <c r="A6" s="9" t="s">
        <v>37</v>
      </c>
      <c r="B6" s="3" t="s">
        <v>38</v>
      </c>
      <c r="C6" s="4"/>
      <c r="D6" s="4"/>
      <c r="E6" s="4"/>
      <c r="F6" s="4"/>
      <c r="G6" s="4"/>
      <c r="H6" s="12">
        <f>AVERAGE(Quest.Utente1!H6,Quest.Utente2!H6,Quest.Utente3!H6,Quest.Utente4!H6)</f>
        <v>2.75</v>
      </c>
    </row>
    <row r="7">
      <c r="A7" s="10"/>
      <c r="B7" s="4"/>
      <c r="C7" s="4"/>
      <c r="D7" s="4"/>
      <c r="E7" s="4"/>
      <c r="F7" s="4"/>
      <c r="G7" s="4"/>
      <c r="H7" s="13">
        <f>AVERAGE(H5:H6)</f>
        <v>2.625</v>
      </c>
    </row>
    <row r="8">
      <c r="A8" s="6" t="s">
        <v>40</v>
      </c>
      <c r="B8" s="3" t="s">
        <v>41</v>
      </c>
      <c r="C8" s="4"/>
      <c r="D8" s="4"/>
      <c r="E8" s="4"/>
      <c r="F8" s="4"/>
      <c r="G8" s="4"/>
      <c r="H8" s="12">
        <f>AVERAGE(Quest.Utente1!H8,Quest.Utente2!H8,Quest.Utente3!H8,Quest.Utente4!H8)</f>
        <v>3.25</v>
      </c>
    </row>
    <row r="9">
      <c r="A9" s="11"/>
      <c r="B9" s="4"/>
      <c r="C9" s="4"/>
      <c r="D9" s="4"/>
      <c r="E9" s="4"/>
      <c r="F9" s="4"/>
      <c r="G9" s="4"/>
      <c r="H9" s="13">
        <f>AVERAGE(H8)</f>
        <v>3.25</v>
      </c>
    </row>
    <row r="10">
      <c r="A10" s="6" t="s">
        <v>44</v>
      </c>
      <c r="B10" s="3" t="s">
        <v>45</v>
      </c>
      <c r="C10" s="4"/>
      <c r="D10" s="4"/>
      <c r="E10" s="4"/>
      <c r="F10" s="4"/>
      <c r="G10" s="4"/>
      <c r="H10" s="12">
        <f>AVERAGE(Quest.Utente1!H10,Quest.Utente2!H10,Quest.Utente3!H10,Quest.Utente4!H10)</f>
        <v>2.75</v>
      </c>
    </row>
    <row r="11">
      <c r="A11" s="9" t="s">
        <v>46</v>
      </c>
      <c r="B11" s="3" t="s">
        <v>47</v>
      </c>
      <c r="C11" s="4"/>
      <c r="D11" s="4"/>
      <c r="E11" s="4"/>
      <c r="F11" s="4"/>
      <c r="G11" s="4"/>
      <c r="H11" s="12">
        <f>AVERAGE(Quest.Utente1!H11,Quest.Utente2!H11,Quest.Utente3!H11,Quest.Utente4!H11)</f>
        <v>4</v>
      </c>
    </row>
    <row r="12">
      <c r="A12" s="10"/>
      <c r="B12" s="4"/>
      <c r="C12" s="4"/>
      <c r="D12" s="4"/>
      <c r="E12" s="4"/>
      <c r="F12" s="4"/>
      <c r="G12" s="4"/>
      <c r="H12" s="13">
        <f>AVERAGE(H10:H11)</f>
        <v>3.375</v>
      </c>
    </row>
    <row r="13">
      <c r="A13" s="6" t="s">
        <v>48</v>
      </c>
      <c r="B13" s="3" t="s">
        <v>49</v>
      </c>
      <c r="C13" s="4"/>
      <c r="D13" s="4"/>
      <c r="E13" s="4"/>
      <c r="F13" s="4"/>
      <c r="G13" s="4"/>
      <c r="H13" s="12">
        <f>AVERAGE(Quest.Utente1!H13,Quest.Utente2!H13,Quest.Utente3!H13,Quest.Utente4!H13)</f>
        <v>2.5</v>
      </c>
    </row>
    <row r="14">
      <c r="A14" s="11"/>
      <c r="B14" s="4"/>
      <c r="C14" s="4"/>
      <c r="D14" s="4"/>
      <c r="E14" s="4"/>
      <c r="F14" s="4"/>
      <c r="G14" s="4"/>
      <c r="H14" s="13">
        <f>AVERAGE(H13)</f>
        <v>2.5</v>
      </c>
    </row>
    <row r="15">
      <c r="A15" s="6" t="s">
        <v>50</v>
      </c>
      <c r="B15" s="5" t="s">
        <v>51</v>
      </c>
      <c r="C15" s="4"/>
      <c r="D15" s="4"/>
      <c r="E15" s="4"/>
      <c r="F15" s="4"/>
      <c r="G15" s="4"/>
      <c r="H15" s="12">
        <f>AVERAGE(Quest.Utente1!H15,Quest.Utente2!H15,Quest.Utente3!H15,Quest.Utente4!H15)</f>
        <v>3.25</v>
      </c>
    </row>
    <row r="16">
      <c r="A16" s="9" t="s">
        <v>52</v>
      </c>
      <c r="B16" s="3" t="s">
        <v>53</v>
      </c>
      <c r="C16" s="4"/>
      <c r="D16" s="4"/>
      <c r="E16" s="4"/>
      <c r="F16" s="4"/>
      <c r="G16" s="4"/>
      <c r="H16" s="12">
        <f>AVERAGE(Quest.Utente1!H16,Quest.Utente2!H16,Quest.Utente3!H16,Quest.Utente4!H16)</f>
        <v>2.25</v>
      </c>
    </row>
    <row r="17">
      <c r="A17" s="10"/>
      <c r="B17" s="4"/>
      <c r="C17" s="4"/>
      <c r="D17" s="4"/>
      <c r="E17" s="4"/>
      <c r="F17" s="4"/>
      <c r="G17" s="4"/>
      <c r="H17" s="13">
        <f>AVERAGE(H15:H16)</f>
        <v>2.75</v>
      </c>
    </row>
    <row r="18">
      <c r="A18" s="6" t="s">
        <v>54</v>
      </c>
      <c r="B18" s="3" t="s">
        <v>53</v>
      </c>
      <c r="C18" s="4"/>
      <c r="D18" s="4"/>
      <c r="E18" s="4"/>
      <c r="F18" s="4"/>
      <c r="G18" s="4"/>
      <c r="H18" s="12">
        <f>AVERAGE(Quest.Utente1!H18,Quest.Utente2!H18,Quest.Utente3!H18,Quest.Utente4!H18)</f>
        <v>3</v>
      </c>
    </row>
    <row r="19">
      <c r="A19" s="9" t="s">
        <v>56</v>
      </c>
      <c r="B19" s="3" t="s">
        <v>57</v>
      </c>
      <c r="C19" s="4"/>
      <c r="D19" s="4"/>
      <c r="E19" s="4"/>
      <c r="F19" s="4"/>
      <c r="G19" s="4"/>
      <c r="H19" s="12">
        <f>AVERAGE(Quest.Utente1!H19,Quest.Utente2!H19,Quest.Utente3!H19,Quest.Utente4!H19)</f>
        <v>1.5</v>
      </c>
    </row>
    <row r="20">
      <c r="A20" s="10"/>
      <c r="B20" s="4"/>
      <c r="C20" s="4"/>
      <c r="D20" s="4"/>
      <c r="E20" s="4"/>
      <c r="F20" s="4"/>
      <c r="G20" s="4"/>
      <c r="H20" s="13">
        <f>AVERAGE(H18:H19)</f>
        <v>2.25</v>
      </c>
    </row>
    <row r="21">
      <c r="A21" s="6" t="s">
        <v>58</v>
      </c>
      <c r="B21" s="3" t="s">
        <v>59</v>
      </c>
      <c r="C21" s="4"/>
      <c r="D21" s="4"/>
      <c r="E21" s="4"/>
      <c r="F21" s="4"/>
      <c r="G21" s="4"/>
      <c r="H21" s="12">
        <f>AVERAGE(Quest.Utente1!H21,Quest.Utente2!H21,Quest.Utente3!H21,Quest.Utente4!H21)</f>
        <v>4.5</v>
      </c>
    </row>
    <row r="22">
      <c r="A22" s="9" t="s">
        <v>60</v>
      </c>
      <c r="B22" s="3" t="s">
        <v>61</v>
      </c>
      <c r="C22" s="4"/>
      <c r="D22" s="4"/>
      <c r="E22" s="4"/>
      <c r="F22" s="4"/>
      <c r="G22" s="4"/>
      <c r="H22" s="12">
        <f>AVERAGE(Quest.Utente1!H22,Quest.Utente2!H22,Quest.Utente3!H22,Quest.Utente4!H22)</f>
        <v>3</v>
      </c>
    </row>
    <row r="23">
      <c r="A23" s="10"/>
      <c r="B23" s="4"/>
      <c r="C23" s="4"/>
      <c r="D23" s="4"/>
      <c r="E23" s="4"/>
      <c r="F23" s="4"/>
      <c r="G23" s="4"/>
      <c r="H23" s="13">
        <f>AVERAGE(H21:H22)</f>
        <v>3.75</v>
      </c>
    </row>
    <row r="24">
      <c r="A24" s="6" t="s">
        <v>62</v>
      </c>
      <c r="B24" s="3" t="s">
        <v>63</v>
      </c>
      <c r="C24" s="4"/>
      <c r="D24" s="4"/>
      <c r="E24" s="4"/>
      <c r="F24" s="4"/>
      <c r="G24" s="4"/>
      <c r="H24" s="12">
        <f>AVERAGE(Quest.Utente1!H24,Quest.Utente2!H24,Quest.Utente3!H24,Quest.Utente4!H24)</f>
        <v>4.75</v>
      </c>
    </row>
    <row r="25">
      <c r="A25" s="10"/>
      <c r="B25" s="4"/>
      <c r="C25" s="4"/>
      <c r="D25" s="4"/>
      <c r="E25" s="4"/>
      <c r="F25" s="4"/>
      <c r="G25" s="4"/>
      <c r="H25" s="13">
        <f>AVERAGE(H24)</f>
        <v>4.75</v>
      </c>
    </row>
    <row r="26">
      <c r="A26" s="9" t="s">
        <v>64</v>
      </c>
      <c r="B26" s="3" t="s">
        <v>65</v>
      </c>
      <c r="C26" s="4"/>
      <c r="D26" s="4"/>
      <c r="E26" s="4"/>
      <c r="F26" s="4"/>
      <c r="G26" s="4"/>
      <c r="H26" s="12">
        <f>AVERAGE(Quest.Utente1!H26,Quest.Utente2!H26,Quest.Utente3!H26,Quest.Utente4!H26)</f>
        <v>1.75</v>
      </c>
    </row>
    <row r="27">
      <c r="A27" s="9" t="s">
        <v>66</v>
      </c>
      <c r="B27" s="3" t="s">
        <v>67</v>
      </c>
      <c r="C27" s="4"/>
      <c r="D27" s="4"/>
      <c r="E27" s="4"/>
      <c r="F27" s="4"/>
      <c r="G27" s="4"/>
      <c r="H27" s="12">
        <f>AVERAGE(Quest.Utente1!H27,Quest.Utente2!H27,Quest.Utente3!H27,Quest.Utente4!H27)</f>
        <v>1.75</v>
      </c>
    </row>
    <row r="28">
      <c r="A28" s="10"/>
      <c r="B28" s="4"/>
      <c r="C28" s="4"/>
      <c r="D28" s="4"/>
      <c r="E28" s="4"/>
      <c r="F28" s="4"/>
      <c r="G28" s="4"/>
      <c r="H28" s="13">
        <f>AVERAGE(H26:H27)</f>
        <v>1.75</v>
      </c>
    </row>
    <row r="29">
      <c r="A29" s="6" t="s">
        <v>68</v>
      </c>
      <c r="B29" s="3" t="s">
        <v>69</v>
      </c>
      <c r="C29" s="4"/>
      <c r="D29" s="4"/>
      <c r="E29" s="4"/>
      <c r="F29" s="4"/>
      <c r="G29" s="4"/>
      <c r="H29" s="12">
        <f>AVERAGE(Quest.Utente1!H29,Quest.Utente2!H29,Quest.Utente3!H29,Quest.Utente4!H29)</f>
        <v>2.5</v>
      </c>
    </row>
    <row r="30">
      <c r="A30" s="4"/>
      <c r="B30" s="4"/>
      <c r="C30" s="4"/>
      <c r="D30" s="4"/>
      <c r="E30" s="4"/>
      <c r="F30" s="4"/>
      <c r="G30" s="4"/>
      <c r="H30" s="13">
        <f>AVERAGE(H29)</f>
        <v>2.5</v>
      </c>
    </row>
    <row r="31">
      <c r="A31" s="9" t="s">
        <v>70</v>
      </c>
      <c r="B31" s="5" t="s">
        <v>71</v>
      </c>
      <c r="C31" s="4"/>
      <c r="D31" s="4"/>
      <c r="E31" s="4"/>
      <c r="F31" s="4"/>
      <c r="G31" s="4"/>
      <c r="H31" s="12">
        <f>AVERAGE(Quest.Utente1!H31,Quest.Utente2!H31,Quest.Utente3!H31,Quest.Utente4!H31)</f>
        <v>3.75</v>
      </c>
    </row>
    <row r="32">
      <c r="A32" s="9" t="s">
        <v>72</v>
      </c>
      <c r="B32" s="3" t="s">
        <v>73</v>
      </c>
      <c r="C32" s="4"/>
      <c r="D32" s="4"/>
      <c r="E32" s="4"/>
      <c r="F32" s="4"/>
      <c r="G32" s="4"/>
      <c r="H32" s="12">
        <f>AVERAGE(Quest.Utente1!H32,Quest.Utente2!H32,Quest.Utente3!H32,Quest.Utente4!H32)</f>
        <v>2.5</v>
      </c>
    </row>
    <row r="33">
      <c r="A33" s="10"/>
      <c r="B33" s="4"/>
      <c r="C33" s="4"/>
      <c r="D33" s="4"/>
      <c r="E33" s="4"/>
      <c r="F33" s="4"/>
      <c r="G33" s="4"/>
      <c r="H33" s="13">
        <f>AVERAGE(H31:H32)</f>
        <v>3.125</v>
      </c>
    </row>
    <row r="34">
      <c r="A34" s="9" t="s">
        <v>74</v>
      </c>
      <c r="B34" s="3" t="s">
        <v>75</v>
      </c>
      <c r="C34" s="4"/>
      <c r="D34" s="4"/>
      <c r="E34" s="4"/>
      <c r="F34" s="4"/>
      <c r="G34" s="4"/>
      <c r="H34" s="12">
        <f>AVERAGE(Quest.Utente1!H34,Quest.Utente2!H34,Quest.Utente3!H34,Quest.Utente4!H34)</f>
        <v>1.5</v>
      </c>
    </row>
    <row r="35">
      <c r="A35" s="9" t="s">
        <v>76</v>
      </c>
      <c r="B35" s="3" t="s">
        <v>77</v>
      </c>
      <c r="C35" s="4"/>
      <c r="D35" s="4"/>
      <c r="E35" s="4"/>
      <c r="F35" s="4"/>
      <c r="G35" s="4"/>
      <c r="H35" s="12">
        <f>AVERAGE(Quest.Utente1!H35,Quest.Utente2!H35,Quest.Utente3!H35,Quest.Utente4!H35)</f>
        <v>1.75</v>
      </c>
    </row>
    <row r="36">
      <c r="A36" s="10"/>
      <c r="B36" s="4"/>
      <c r="C36" s="4"/>
      <c r="D36" s="4"/>
      <c r="E36" s="4"/>
      <c r="F36" s="4"/>
      <c r="G36" s="4"/>
      <c r="H36" s="13">
        <f>AVERAGE(H34:H35)</f>
        <v>1.625</v>
      </c>
    </row>
    <row r="37">
      <c r="A37" s="6" t="s">
        <v>78</v>
      </c>
      <c r="B37" s="3" t="s">
        <v>79</v>
      </c>
      <c r="C37" s="4"/>
      <c r="D37" s="4"/>
      <c r="E37" s="4"/>
      <c r="F37" s="4"/>
      <c r="G37" s="4"/>
      <c r="H37" s="12">
        <f>AVERAGE(Quest.Utente1!H37,Quest.Utente2!H37,Quest.Utente3!H37,Quest.Utente4!H37)</f>
        <v>1.75</v>
      </c>
    </row>
    <row r="38">
      <c r="A38" s="9" t="s">
        <v>80</v>
      </c>
      <c r="B38" s="3" t="s">
        <v>81</v>
      </c>
      <c r="C38" s="4"/>
      <c r="D38" s="4"/>
      <c r="E38" s="4"/>
      <c r="F38" s="4"/>
      <c r="G38" s="4"/>
      <c r="H38" s="12">
        <f>AVERAGE(Quest.Utente1!H38,Quest.Utente2!H38,Quest.Utente3!H38,Quest.Utente4!H38)</f>
        <v>1.5</v>
      </c>
    </row>
    <row r="39">
      <c r="A39" s="10"/>
      <c r="B39" s="4"/>
      <c r="C39" s="4"/>
      <c r="D39" s="4"/>
      <c r="E39" s="4"/>
      <c r="F39" s="4"/>
      <c r="G39" s="4"/>
      <c r="H39" s="13">
        <f>AVERAGE(H37:H38)</f>
        <v>1.625</v>
      </c>
    </row>
    <row r="40">
      <c r="A40" s="6" t="s">
        <v>82</v>
      </c>
      <c r="B40" s="3" t="s">
        <v>83</v>
      </c>
      <c r="C40" s="4"/>
      <c r="D40" s="4"/>
      <c r="E40" s="4"/>
      <c r="F40" s="4"/>
      <c r="G40" s="4"/>
      <c r="H40" s="12">
        <f>AVERAGE(Quest.Utente1!H40,Quest.Utente2!H40,Quest.Utente3!H40,Quest.Utente4!H40)</f>
        <v>4.25</v>
      </c>
    </row>
    <row r="41">
      <c r="A41" s="9" t="s">
        <v>84</v>
      </c>
      <c r="B41" s="3" t="s">
        <v>85</v>
      </c>
      <c r="C41" s="4"/>
      <c r="D41" s="4"/>
      <c r="E41" s="4"/>
      <c r="F41" s="4"/>
      <c r="G41" s="4"/>
      <c r="H41" s="12">
        <f>AVERAGE(Quest.Utente1!H41,Quest.Utente2!H41,Quest.Utente3!H41,Quest.Utente4!H41)</f>
        <v>3.25</v>
      </c>
    </row>
    <row r="42">
      <c r="A42" s="4"/>
      <c r="B42" s="4"/>
      <c r="C42" s="4"/>
      <c r="D42" s="4"/>
      <c r="E42" s="4"/>
      <c r="F42" s="4"/>
      <c r="G42" s="4"/>
      <c r="H42" s="13">
        <f>AVERAGE(H40:H41)</f>
        <v>3.75</v>
      </c>
    </row>
    <row r="43">
      <c r="A43" s="6" t="s">
        <v>86</v>
      </c>
      <c r="B43" s="3" t="s">
        <v>87</v>
      </c>
      <c r="C43" s="4"/>
      <c r="D43" s="4"/>
      <c r="E43" s="4"/>
      <c r="F43" s="4"/>
      <c r="G43" s="4"/>
      <c r="H43" s="12">
        <f>AVERAGE(Quest.Utente1!H43,Quest.Utente2!H43,Quest.Utente3!H43,Quest.Utente4!H43)</f>
        <v>4.25</v>
      </c>
    </row>
    <row r="44">
      <c r="A44" s="10"/>
      <c r="B44" s="4"/>
      <c r="C44" s="4"/>
      <c r="D44" s="4"/>
      <c r="E44" s="4"/>
      <c r="F44" s="4"/>
      <c r="G44" s="4"/>
      <c r="H44" s="13">
        <f>AVERAGE(H43)</f>
        <v>4.25</v>
      </c>
    </row>
    <row r="45">
      <c r="A45" s="6" t="s">
        <v>88</v>
      </c>
      <c r="B45" s="5" t="s">
        <v>89</v>
      </c>
      <c r="C45" s="4"/>
      <c r="D45" s="4"/>
      <c r="E45" s="4"/>
      <c r="F45" s="4"/>
      <c r="G45" s="4"/>
      <c r="H45" s="12">
        <f>AVERAGE(Quest.Utente1!H45,Quest.Utente2!H45,Quest.Utente3!H45,Quest.Utente4!H45)</f>
        <v>4.5</v>
      </c>
    </row>
    <row r="46">
      <c r="A46" s="9" t="s">
        <v>90</v>
      </c>
      <c r="B46" s="3" t="s">
        <v>91</v>
      </c>
      <c r="C46" s="4"/>
      <c r="D46" s="4"/>
      <c r="E46" s="4"/>
      <c r="F46" s="4"/>
      <c r="G46" s="4"/>
      <c r="H46" s="12">
        <f>AVERAGE(Quest.Utente1!H46,Quest.Utente2!H46,Quest.Utente3!H46,Quest.Utente4!H46)</f>
        <v>3</v>
      </c>
    </row>
    <row r="47">
      <c r="A47" s="10"/>
      <c r="B47" s="4"/>
      <c r="C47" s="4"/>
      <c r="D47" s="4"/>
      <c r="E47" s="4"/>
      <c r="F47" s="4"/>
      <c r="G47" s="4"/>
      <c r="H47" s="13">
        <f>AVERAGE(H45:H46)</f>
        <v>3.75</v>
      </c>
    </row>
    <row r="48">
      <c r="A48" s="6" t="s">
        <v>92</v>
      </c>
      <c r="B48" s="3" t="s">
        <v>93</v>
      </c>
      <c r="C48" s="4"/>
      <c r="D48" s="4"/>
      <c r="E48" s="4"/>
      <c r="F48" s="4"/>
      <c r="G48" s="4"/>
      <c r="H48" s="12">
        <f>AVERAGE(Quest.Utente1!H48,Quest.Utente2!H48,Quest.Utente3!H48,Quest.Utente4!H48)</f>
        <v>4.25</v>
      </c>
    </row>
    <row r="49">
      <c r="A49" s="9" t="s">
        <v>94</v>
      </c>
      <c r="B49" s="3" t="s">
        <v>95</v>
      </c>
      <c r="C49" s="4"/>
      <c r="D49" s="4"/>
      <c r="E49" s="4"/>
      <c r="F49" s="4"/>
      <c r="G49" s="4"/>
      <c r="H49" s="12">
        <f>AVERAGE(Quest.Utente1!H49,Quest.Utente2!H49,Quest.Utente3!H49,Quest.Utente4!H49)</f>
        <v>3.25</v>
      </c>
    </row>
    <row r="50">
      <c r="A50" s="4"/>
      <c r="B50" s="4"/>
      <c r="C50" s="4"/>
      <c r="D50" s="4"/>
      <c r="E50" s="4"/>
      <c r="F50" s="4"/>
      <c r="G50" s="4"/>
      <c r="H50" s="13">
        <f>AVERAGE(H48:H49)</f>
        <v>3.75</v>
      </c>
    </row>
    <row r="51">
      <c r="A51" s="6" t="s">
        <v>96</v>
      </c>
      <c r="B51" s="3" t="s">
        <v>97</v>
      </c>
      <c r="C51" s="4"/>
      <c r="D51" s="4"/>
      <c r="E51" s="4"/>
      <c r="F51" s="4"/>
      <c r="G51" s="4"/>
      <c r="H51" s="12">
        <f>AVERAGE(Quest.Utente1!H51,Quest.Utente2!H51,Quest.Utente3!H51,Quest.Utente4!H51)</f>
        <v>5</v>
      </c>
    </row>
    <row r="52">
      <c r="A52" s="10"/>
      <c r="B52" s="4"/>
      <c r="C52" s="4"/>
      <c r="D52" s="4"/>
      <c r="E52" s="4"/>
      <c r="F52" s="4"/>
      <c r="G52" s="4"/>
      <c r="H52" s="13">
        <v>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98</v>
      </c>
      <c r="B1" s="14" t="s">
        <v>99</v>
      </c>
      <c r="C1" s="14" t="s">
        <v>100</v>
      </c>
      <c r="D1" s="14" t="s">
        <v>101</v>
      </c>
      <c r="E1" s="14" t="s">
        <v>102</v>
      </c>
    </row>
    <row r="2">
      <c r="A2" s="15" t="s">
        <v>103</v>
      </c>
      <c r="B2" s="16">
        <f>MEDIE!H4</f>
        <v>2.375</v>
      </c>
      <c r="C2" s="16">
        <f>MEDIE!H7</f>
        <v>2.625</v>
      </c>
      <c r="D2" s="17"/>
      <c r="E2" s="18">
        <f>MEDIE!H9</f>
        <v>3.25</v>
      </c>
    </row>
    <row r="3">
      <c r="A3" s="19" t="s">
        <v>104</v>
      </c>
      <c r="B3" s="20"/>
      <c r="C3" s="20"/>
      <c r="D3" s="21">
        <f>MEDIE!H12</f>
        <v>3.375</v>
      </c>
      <c r="E3" s="22">
        <f>MEDIE!H14</f>
        <v>2.5</v>
      </c>
    </row>
    <row r="4">
      <c r="A4" s="15" t="s">
        <v>105</v>
      </c>
      <c r="B4" s="16">
        <f>MEDIE!H17</f>
        <v>2.75</v>
      </c>
      <c r="C4" s="16">
        <f>MEDIE!H20</f>
        <v>2.25</v>
      </c>
      <c r="D4" s="18">
        <f>MEDIE!H23</f>
        <v>3.75</v>
      </c>
      <c r="E4" s="18">
        <f>MEDIE!H25</f>
        <v>4.75</v>
      </c>
    </row>
    <row r="5">
      <c r="A5" s="19" t="s">
        <v>106</v>
      </c>
      <c r="B5" s="20"/>
      <c r="C5" s="22">
        <f>MEDIE!H28</f>
        <v>1.75</v>
      </c>
      <c r="D5" s="20"/>
      <c r="E5" s="22">
        <f>MEDIE!H30</f>
        <v>2.5</v>
      </c>
    </row>
    <row r="6">
      <c r="A6" s="15" t="s">
        <v>107</v>
      </c>
      <c r="B6" s="18">
        <f>MEDIE!H33</f>
        <v>3.125</v>
      </c>
      <c r="C6" s="16">
        <f>MEDIE!H36</f>
        <v>1.625</v>
      </c>
      <c r="D6" s="23"/>
      <c r="E6" s="23"/>
    </row>
    <row r="7">
      <c r="A7" s="19" t="s">
        <v>108</v>
      </c>
      <c r="B7" s="20"/>
      <c r="C7" s="21">
        <f>MEDIE!H42</f>
        <v>3.75</v>
      </c>
      <c r="D7" s="22">
        <f>MEDIE!H39</f>
        <v>1.625</v>
      </c>
      <c r="E7" s="21">
        <f>MEDIE!H44</f>
        <v>4.25</v>
      </c>
    </row>
    <row r="8">
      <c r="A8" s="15" t="s">
        <v>109</v>
      </c>
      <c r="B8" s="18">
        <f>MEDIE!H47</f>
        <v>3.75</v>
      </c>
      <c r="C8" s="17"/>
      <c r="D8" s="18">
        <f>MEDIE!H50</f>
        <v>3.75</v>
      </c>
      <c r="E8" s="18">
        <f>MEDIE!H52</f>
        <v>5</v>
      </c>
    </row>
    <row r="9">
      <c r="A9" s="24"/>
      <c r="B9" s="25"/>
      <c r="C9" s="25"/>
      <c r="D9" s="25"/>
      <c r="E9" s="25"/>
    </row>
    <row r="10">
      <c r="A10" s="26" t="s">
        <v>110</v>
      </c>
      <c r="B10" s="16">
        <f t="shared" ref="B10:E10" si="1">AVERAGE(B2:B8)</f>
        <v>3</v>
      </c>
      <c r="C10" s="16">
        <f t="shared" si="1"/>
        <v>2.4</v>
      </c>
      <c r="D10" s="16">
        <f t="shared" si="1"/>
        <v>3.125</v>
      </c>
      <c r="E10" s="16">
        <f t="shared" si="1"/>
        <v>3.708333333</v>
      </c>
    </row>
  </sheetData>
  <conditionalFormatting sqref="B2:E10">
    <cfRule type="cellIs" dxfId="0" priority="1" operator="lessThanOrEqual">
      <formula>3</formula>
    </cfRule>
  </conditionalFormatting>
  <drawing r:id="rId1"/>
</worksheet>
</file>